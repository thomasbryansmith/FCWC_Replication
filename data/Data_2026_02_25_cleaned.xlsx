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om Smith\Desktop\FCWC_response\data\"/>
    </mc:Choice>
  </mc:AlternateContent>
  <xr:revisionPtr revIDLastSave="0" documentId="13_ncr:1_{29BCC89D-1DB6-49E2-BE8D-D68C20A3CBC8}" xr6:coauthVersionLast="47" xr6:coauthVersionMax="47" xr10:uidLastSave="{00000000-0000-0000-0000-000000000000}"/>
  <bookViews>
    <workbookView xWindow="38280" yWindow="-2655" windowWidth="13740" windowHeight="23520" xr2:uid="{24CC9418-2D2B-9B47-A013-6F7BE73076C4}"/>
  </bookViews>
  <sheets>
    <sheet name="Non-Experimental" sheetId="1" r:id="rId1"/>
    <sheet name="Experimental" sheetId="2" r:id="rId2"/>
    <sheet name="Labe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4" i="1" l="1"/>
  <c r="P253" i="1"/>
  <c r="O254" i="1"/>
  <c r="O253" i="1"/>
  <c r="O252" i="1"/>
  <c r="P252" i="1" s="1"/>
  <c r="O251" i="1"/>
  <c r="P251" i="1" s="1"/>
  <c r="O250" i="1"/>
  <c r="P250" i="1" s="1"/>
  <c r="O249" i="1"/>
  <c r="P249" i="1" s="1"/>
  <c r="O248" i="1"/>
  <c r="P248" i="1" s="1"/>
  <c r="O247" i="1"/>
  <c r="P247" i="1" s="1"/>
  <c r="O246" i="1"/>
  <c r="P246" i="1" s="1"/>
  <c r="O245" i="1"/>
  <c r="P245"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32" i="1"/>
  <c r="P232" i="1" s="1"/>
  <c r="O231" i="1"/>
  <c r="P231" i="1" s="1"/>
  <c r="O230" i="1"/>
  <c r="P230" i="1" s="1"/>
  <c r="O229" i="1"/>
  <c r="P229" i="1" s="1"/>
  <c r="O228" i="1"/>
  <c r="P228" i="1" s="1"/>
  <c r="O227" i="1"/>
  <c r="P227" i="1" s="1"/>
  <c r="O226" i="1"/>
  <c r="P226" i="1" s="1"/>
  <c r="O225" i="1"/>
  <c r="P225" i="1" s="1"/>
  <c r="O224" i="1"/>
  <c r="P224" i="1" s="1"/>
  <c r="O223" i="1"/>
  <c r="P223" i="1" s="1"/>
  <c r="O222" i="1"/>
  <c r="P222" i="1" s="1"/>
  <c r="O221" i="1"/>
  <c r="P221" i="1" s="1"/>
  <c r="O220" i="1"/>
  <c r="P220" i="1" s="1"/>
  <c r="O219" i="1"/>
  <c r="P219" i="1" s="1"/>
  <c r="O218" i="1"/>
  <c r="P218" i="1" s="1"/>
  <c r="P217" i="1"/>
  <c r="P216" i="1"/>
  <c r="P215" i="1"/>
  <c r="P212" i="1"/>
  <c r="P213" i="1"/>
  <c r="P214" i="1"/>
  <c r="P211" i="1"/>
  <c r="N212" i="1"/>
  <c r="O212" i="1" s="1"/>
  <c r="N213" i="1"/>
  <c r="O213" i="1" s="1"/>
  <c r="N214" i="1"/>
  <c r="O214" i="1" s="1"/>
  <c r="N211" i="1"/>
  <c r="O211" i="1" s="1"/>
  <c r="O209" i="1"/>
  <c r="O207" i="1"/>
  <c r="P210" i="1"/>
  <c r="N210" i="1"/>
  <c r="O210" i="1" s="1"/>
  <c r="P209" i="1"/>
  <c r="M209" i="1" s="1"/>
  <c r="P208" i="1"/>
  <c r="N208" i="1"/>
  <c r="O208" i="1" s="1"/>
  <c r="P207" i="1"/>
  <c r="M207" i="1" s="1"/>
  <c r="P206" i="1"/>
  <c r="O206" i="1"/>
  <c r="P203" i="1"/>
  <c r="P204" i="1"/>
  <c r="P205" i="1"/>
  <c r="P202" i="1"/>
  <c r="O199" i="1"/>
  <c r="P199" i="1" s="1"/>
  <c r="O200" i="1"/>
  <c r="P200" i="1" s="1"/>
  <c r="O201" i="1"/>
  <c r="P201" i="1" s="1"/>
  <c r="O198" i="1"/>
  <c r="P198" i="1" s="1"/>
  <c r="O197" i="1"/>
  <c r="P197" i="1" s="1"/>
  <c r="O196" i="1"/>
  <c r="P196" i="1" s="1"/>
  <c r="O193" i="1"/>
  <c r="P193" i="1" s="1"/>
  <c r="O194" i="1"/>
  <c r="P194" i="1" s="1"/>
  <c r="O195" i="1"/>
  <c r="P195" i="1" s="1"/>
  <c r="O192" i="1"/>
  <c r="P192" i="1" s="1"/>
  <c r="O184" i="1"/>
  <c r="O185" i="1"/>
  <c r="O186" i="1"/>
  <c r="O183" i="1"/>
  <c r="O188" i="1"/>
  <c r="P188" i="1" s="1"/>
  <c r="O189" i="1"/>
  <c r="P189" i="1" s="1"/>
  <c r="O190" i="1"/>
  <c r="P190" i="1" s="1"/>
  <c r="O191" i="1"/>
  <c r="P191" i="1" s="1"/>
  <c r="O187" i="1"/>
  <c r="P187" i="1" s="1"/>
  <c r="P184" i="1"/>
  <c r="P185" i="1"/>
  <c r="P186" i="1"/>
  <c r="P183" i="1"/>
  <c r="P182" i="1"/>
  <c r="P180" i="1"/>
  <c r="O179" i="1"/>
  <c r="O178" i="1"/>
  <c r="O177" i="1"/>
  <c r="O176" i="1"/>
  <c r="O175" i="1"/>
  <c r="O167" i="1"/>
  <c r="O168" i="1"/>
  <c r="O169" i="1"/>
  <c r="O170" i="1"/>
  <c r="O171" i="1"/>
  <c r="O172" i="1"/>
  <c r="O173" i="1"/>
  <c r="O166" i="1"/>
  <c r="O165" i="1"/>
  <c r="O36"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2" i="1"/>
</calcChain>
</file>

<file path=xl/sharedStrings.xml><?xml version="1.0" encoding="utf-8"?>
<sst xmlns="http://schemas.openxmlformats.org/spreadsheetml/2006/main" count="2415" uniqueCount="302">
  <si>
    <t>DataYear</t>
  </si>
  <si>
    <t>Included</t>
  </si>
  <si>
    <t>Estimate</t>
  </si>
  <si>
    <t>Huff et al. (1986)</t>
  </si>
  <si>
    <t>Yes</t>
  </si>
  <si>
    <t>Error</t>
  </si>
  <si>
    <t>RF2007_national</t>
  </si>
  <si>
    <t>RF2007_local</t>
  </si>
  <si>
    <t>ZSK2008_local</t>
  </si>
  <si>
    <t>ZSK2008_national</t>
  </si>
  <si>
    <t>LHR2019</t>
  </si>
  <si>
    <t>Cassell &amp; Hayman (1996)</t>
  </si>
  <si>
    <t>Bedau (1987)</t>
  </si>
  <si>
    <t>Connors (1996)</t>
  </si>
  <si>
    <t>NRE (2025)</t>
  </si>
  <si>
    <t>IP (1993-2019)</t>
  </si>
  <si>
    <t>Cassell (1997)</t>
  </si>
  <si>
    <t>Huff (1996)</t>
  </si>
  <si>
    <t>FCshare</t>
  </si>
  <si>
    <t>%error</t>
  </si>
  <si>
    <t>nerror</t>
  </si>
  <si>
    <t>weight</t>
  </si>
  <si>
    <t>StudyYear</t>
  </si>
  <si>
    <t>notes</t>
  </si>
  <si>
    <t>Found a report, but they cite a book?</t>
  </si>
  <si>
    <t>MAref</t>
  </si>
  <si>
    <t>Ref</t>
  </si>
  <si>
    <t>Allen &amp; Laudan (2008)</t>
  </si>
  <si>
    <t>No</t>
  </si>
  <si>
    <t>independent</t>
  </si>
  <si>
    <t>shareddata</t>
  </si>
  <si>
    <t>no</t>
  </si>
  <si>
    <t>used data from Risinger and Garrett</t>
  </si>
  <si>
    <t>Zalman et al. (2008)</t>
  </si>
  <si>
    <t>&lt;.5</t>
  </si>
  <si>
    <t>.5-&lt;1</t>
  </si>
  <si>
    <t>1 to 3</t>
  </si>
  <si>
    <t>4 to 5</t>
  </si>
  <si>
    <t>6 to 10</t>
  </si>
  <si>
    <t>Participants</t>
  </si>
  <si>
    <t>Police</t>
  </si>
  <si>
    <t>.5-1</t>
  </si>
  <si>
    <t>N</t>
  </si>
  <si>
    <t>Prosecutors</t>
  </si>
  <si>
    <t>Defense att</t>
  </si>
  <si>
    <t>11 to 15</t>
  </si>
  <si>
    <t>16 to 20</t>
  </si>
  <si>
    <t>21 to 25</t>
  </si>
  <si>
    <t>&gt;25</t>
  </si>
  <si>
    <t>Judges</t>
  </si>
  <si>
    <t>estimates of local and national from same participants</t>
  </si>
  <si>
    <t>survey - LE</t>
  </si>
  <si>
    <t>Walsh et al. (2017)</t>
  </si>
  <si>
    <t>secondary</t>
  </si>
  <si>
    <t>Location</t>
  </si>
  <si>
    <t>Michigan</t>
  </si>
  <si>
    <t>National</t>
  </si>
  <si>
    <t>Virginia</t>
  </si>
  <si>
    <t>yes</t>
  </si>
  <si>
    <t>1973-1987</t>
  </si>
  <si>
    <t>recoded data presented in Roman et al.</t>
  </si>
  <si>
    <t>Thomas (2018)</t>
  </si>
  <si>
    <t>North Carolina</t>
  </si>
  <si>
    <t>2007-2016</t>
  </si>
  <si>
    <t>used same data as Cassell (2018, 2018b)</t>
  </si>
  <si>
    <t>based on exonerations from NCIP</t>
  </si>
  <si>
    <t>based on applications to NCIP</t>
  </si>
  <si>
    <t>based on eligible applications to NCIP</t>
  </si>
  <si>
    <t>based on eligible applications to NCIP adjusted by estimates of false applications and innocents who don't file</t>
  </si>
  <si>
    <t>Roman et al. (2012)</t>
  </si>
  <si>
    <t>used same data as Walsh et al.</t>
  </si>
  <si>
    <t>homicides and sexual assault, supports exoneration</t>
  </si>
  <si>
    <t>sexual assault, supports exoneration</t>
  </si>
  <si>
    <t>sexual assault, insufficient but exculpatory</t>
  </si>
  <si>
    <t>homicides and sexual assault, insufficient but exculpatory</t>
  </si>
  <si>
    <t>sexual assault where DNA was determinate, supportive of exoneration</t>
  </si>
  <si>
    <t>Risinger (2007)</t>
  </si>
  <si>
    <t>1977-1999</t>
  </si>
  <si>
    <t>combined into the Allen &amp; Lauden estimates</t>
  </si>
  <si>
    <t>1982-1989</t>
  </si>
  <si>
    <t>all DNA exonerations/death sentences</t>
  </si>
  <si>
    <t>adjusted DNA exonerations (rape-murders)/death sentences</t>
  </si>
  <si>
    <t>adjusted DNA exonerations (rape-murders)/rape-murder death sentences</t>
  </si>
  <si>
    <t>adjusted DNA exonerations (rape-murders)/rape-murder death sentences with DNA</t>
  </si>
  <si>
    <t>Redlich et al. (2010)</t>
  </si>
  <si>
    <t>6 US sites</t>
  </si>
  <si>
    <t>survey - offenders</t>
  </si>
  <si>
    <t>Ramsey &amp; Frank (2007)</t>
  </si>
  <si>
    <t>Ohio</t>
  </si>
  <si>
    <t>Poveda (2001)</t>
  </si>
  <si>
    <t>Michigan, California, Texas</t>
  </si>
  <si>
    <t>Loeffler et al. (2019)</t>
  </si>
  <si>
    <t>Offenders</t>
  </si>
  <si>
    <t>Offenders with mental illness</t>
  </si>
  <si>
    <t>Pennsylvania</t>
  </si>
  <si>
    <t>2015-2016</t>
  </si>
  <si>
    <t>"I didn't do any of the crimes they convicted me of"</t>
  </si>
  <si>
    <t>"I didn't do everything they convicted me of"</t>
  </si>
  <si>
    <t>"I did what they convicted me of, but I didn't mean to do it"</t>
  </si>
  <si>
    <t>"I did what they convicted me of, but I wasn't as involved as they said I was"</t>
  </si>
  <si>
    <t>"I did what they convicted me of, but I didn't get a fair trial"</t>
  </si>
  <si>
    <t>"I did what thy convicted me of, but the case against me was weak"</t>
  </si>
  <si>
    <t>Other reason</t>
  </si>
  <si>
    <t>adjusted factual innocence by estimation of false claims</t>
  </si>
  <si>
    <t>Kassin et al. (2007)</t>
  </si>
  <si>
    <t>5 US states and 2 CA provinces</t>
  </si>
  <si>
    <t>"provide some form of confession"</t>
  </si>
  <si>
    <t>prior estimate with outliers removed</t>
  </si>
  <si>
    <t>first estimate - outliers, partial admission</t>
  </si>
  <si>
    <t>first estimate - outliers, full admission</t>
  </si>
  <si>
    <t>National, but Ohio mostly</t>
  </si>
  <si>
    <t>Police, Prosecutors, Defense att, Judges</t>
  </si>
  <si>
    <t>&lt;1</t>
  </si>
  <si>
    <t>1 to 5</t>
  </si>
  <si>
    <t>Hoffman (2007)</t>
  </si>
  <si>
    <t>assuming juries are 80% accurate</t>
  </si>
  <si>
    <t>including 1/100 false guilty pleas</t>
  </si>
  <si>
    <t>making denominator 2 mil based on 20 yrs of innocence data</t>
  </si>
  <si>
    <t>Conneticut</t>
  </si>
  <si>
    <t>Community/college students</t>
  </si>
  <si>
    <t>Henkel et al. (2008a)</t>
  </si>
  <si>
    <t>survey - public</t>
  </si>
  <si>
    <t>Gross et al. (2014)</t>
  </si>
  <si>
    <t>1973-2004</t>
  </si>
  <si>
    <t>expanded Gross and O'Brien with public records</t>
  </si>
  <si>
    <t>based only on Death Penalty Information Center</t>
  </si>
  <si>
    <t>estimating beyond official exoneration</t>
  </si>
  <si>
    <t>Gross &amp; O'Brien (2008)</t>
  </si>
  <si>
    <t>bin</t>
  </si>
  <si>
    <t>nbin</t>
  </si>
  <si>
    <t>used in Gross et al.</t>
  </si>
  <si>
    <t>Costanzo et al. (2010)</t>
  </si>
  <si>
    <t>Community</t>
  </si>
  <si>
    <t>7 US cities</t>
  </si>
  <si>
    <t>theft cases</t>
  </si>
  <si>
    <t>rape cases</t>
  </si>
  <si>
    <t>child molestation cases</t>
  </si>
  <si>
    <t>murder cases</t>
  </si>
  <si>
    <t>Connors et al. (1996)</t>
  </si>
  <si>
    <t>1979-1991</t>
  </si>
  <si>
    <t>14 states + DC</t>
  </si>
  <si>
    <t>Cassell (2018b)</t>
  </si>
  <si>
    <t>re-analyzed from Thomas</t>
  </si>
  <si>
    <t>1989-2026</t>
  </si>
  <si>
    <t>Accessed 2/11/26</t>
  </si>
  <si>
    <t>IP (2026)</t>
  </si>
  <si>
    <t>NRE (2026)</t>
  </si>
  <si>
    <t>1989-2025</t>
  </si>
  <si>
    <t>Not sure what their dates are for</t>
  </si>
  <si>
    <t>conceptual</t>
  </si>
  <si>
    <t>Utah</t>
  </si>
  <si>
    <t>1986-2018</t>
  </si>
  <si>
    <t>.017-.066</t>
  </si>
  <si>
    <t>Cassell (2018a)</t>
  </si>
  <si>
    <t>.016-.062</t>
  </si>
  <si>
    <t>Cassell &amp; Hayman (1995)</t>
  </si>
  <si>
    <t>I have no idea how they coded this. They coded 219 cases for Miranda, confession, etc. There is no ground truth, no case outcomes, and no perceptions. It seems the assumption is made that because 219 cases were screened = 219 true convictions</t>
  </si>
  <si>
    <t>Bedau &amp; Radelet (1987)</t>
  </si>
  <si>
    <t>1900-1985</t>
  </si>
  <si>
    <t>comments about use</t>
  </si>
  <si>
    <t>this is the estimate used by Zalman &amp; Norris (2021) and M&amp;A</t>
  </si>
  <si>
    <t>authors did not provide estimates by title</t>
  </si>
  <si>
    <t>separated by role, just in case we decide to do something with that</t>
  </si>
  <si>
    <t>I would argue this shouldn't be included</t>
  </si>
  <si>
    <t>Probably shouldn't include these conceptual ones, but we have them just in case</t>
  </si>
  <si>
    <t>This is a book I do not own</t>
  </si>
  <si>
    <t>Could make an argument to only use the average of supportive numbers, could argue to use it all. Z&amp;N report a range of 8-15%</t>
  </si>
  <si>
    <t>This is the estimate the authors themselves argue for</t>
  </si>
  <si>
    <t>I would argue either for the first or second estimate. Could even average them</t>
  </si>
  <si>
    <t>Would average across if we decide to use public estimates</t>
  </si>
  <si>
    <t>Not sure if we want to use public estimates</t>
  </si>
  <si>
    <t>Welsh et al. (2017)/ Urban (2017) in files sent</t>
  </si>
  <si>
    <t>Gudjonsson &amp; Sigurdsson (1994)</t>
  </si>
  <si>
    <t>Sigurdsson &amp; Gudjonsson (1996)</t>
  </si>
  <si>
    <t>Gudjonsson et al. (2004a)</t>
  </si>
  <si>
    <t>Gudjonsson et al. (2004b)</t>
  </si>
  <si>
    <t>Gudjonsson et al. (2006)</t>
  </si>
  <si>
    <t>Gudjonsson et al. (2009)</t>
  </si>
  <si>
    <t>Gudjonsson et al. (2019)</t>
  </si>
  <si>
    <t>Gudjonsson et al. (2016)</t>
  </si>
  <si>
    <t>Viljoen et al. (2005)</t>
  </si>
  <si>
    <t>Malloy et al. (2014)</t>
  </si>
  <si>
    <t>Drizin &amp; Leo (2004)</t>
  </si>
  <si>
    <t>Redlich et al. (2011)</t>
  </si>
  <si>
    <t>Blair (2007)</t>
  </si>
  <si>
    <t>Cole et al. (2013)</t>
  </si>
  <si>
    <t>Eastwood et al. (2022)</t>
  </si>
  <si>
    <t>Evans et al. (2013)</t>
  </si>
  <si>
    <t>Guyll et al. (2019)</t>
  </si>
  <si>
    <t>Hill et al. (2008)</t>
  </si>
  <si>
    <t>Huang &amp; Teoh (2019)</t>
  </si>
  <si>
    <t>Kassin &amp; Kiechel (1996)</t>
  </si>
  <si>
    <t>Klaver et al. (2008)</t>
  </si>
  <si>
    <t>Meissner et al. (2011)</t>
  </si>
  <si>
    <t>Narchet et al. (2011)</t>
  </si>
  <si>
    <t>Noc et al. (2023)</t>
  </si>
  <si>
    <t>Normile &amp; Scherr (2018)</t>
  </si>
  <si>
    <t>Normile et al. (2017)</t>
  </si>
  <si>
    <t>Paton et al. (2018)</t>
  </si>
  <si>
    <t>Perillo &amp; Kassin (2011a)</t>
  </si>
  <si>
    <t>Perillo &amp; Kassin (2011b)</t>
  </si>
  <si>
    <t>Perillo &amp; Kassin (2011c)</t>
  </si>
  <si>
    <t>Redlich &amp; Goodman (2003)</t>
  </si>
  <si>
    <t>Rigoni (2007)</t>
  </si>
  <si>
    <t>Russano, Meissner, et al. (2005)</t>
  </si>
  <si>
    <t>Russano, Narchet, et al. (2005)</t>
  </si>
  <si>
    <t>Smalarz et al. (2011)</t>
  </si>
  <si>
    <t>Swanner et al. (2010)</t>
  </si>
  <si>
    <t>Villalba (2014)</t>
  </si>
  <si>
    <t>Wachi et al. (2018)</t>
  </si>
  <si>
    <t>Wilford &amp; Wells (2018)</t>
  </si>
  <si>
    <t>Woestehoff (2016)</t>
  </si>
  <si>
    <t>Wright (2013)</t>
  </si>
  <si>
    <t>Paradigm</t>
  </si>
  <si>
    <t>AccFD</t>
  </si>
  <si>
    <t>AccTC</t>
  </si>
  <si>
    <t>AccTD</t>
  </si>
  <si>
    <t>IGFD</t>
  </si>
  <si>
    <t>IGTC</t>
  </si>
  <si>
    <t>IGTD</t>
  </si>
  <si>
    <t>AccFC</t>
  </si>
  <si>
    <t>IGFC</t>
  </si>
  <si>
    <t>ConFD</t>
  </si>
  <si>
    <t>ConTC</t>
  </si>
  <si>
    <t>ConTD</t>
  </si>
  <si>
    <t>ConFC</t>
  </si>
  <si>
    <t>US</t>
  </si>
  <si>
    <t>1991-1992</t>
  </si>
  <si>
    <t>Iceland</t>
  </si>
  <si>
    <t>there is a comment about "new admissions," so I assumed this is independent of the older data</t>
  </si>
  <si>
    <t>College students</t>
  </si>
  <si>
    <t>false admission to teachers or parents</t>
  </si>
  <si>
    <t>estimates of false admissions answered by same participants answering about false confessions</t>
  </si>
  <si>
    <t>false confession in total sample</t>
  </si>
  <si>
    <t>false confession in interrogated sample</t>
  </si>
  <si>
    <t>false confession in confessed sample</t>
  </si>
  <si>
    <t>I would use this one</t>
  </si>
  <si>
    <t>Norway</t>
  </si>
  <si>
    <t>Finland</t>
  </si>
  <si>
    <t>Latvia</t>
  </si>
  <si>
    <t>Lithuania</t>
  </si>
  <si>
    <t>Russia</t>
  </si>
  <si>
    <t>Bulgaria</t>
  </si>
  <si>
    <t>I would treat each country as a unique sample and use the interrogated as the denominator</t>
  </si>
  <si>
    <t>this is from Brandon's email, I could not find the original article</t>
  </si>
  <si>
    <t>Students (primary and college)</t>
  </si>
  <si>
    <t>Juvenile offenders</t>
  </si>
  <si>
    <t>Washington</t>
  </si>
  <si>
    <t>California</t>
  </si>
  <si>
    <t>is part of a larger study, but one that is not included elsewhere in our data</t>
  </si>
  <si>
    <t>1971-2002</t>
  </si>
  <si>
    <t>Allison wanted this one, but I am not sure if it fits with everything else because the demoninator is FC</t>
  </si>
  <si>
    <t>Canada</t>
  </si>
  <si>
    <t>UK</t>
  </si>
  <si>
    <t>Japan</t>
  </si>
  <si>
    <t>Taiwan</t>
  </si>
  <si>
    <t>Alt-key</t>
  </si>
  <si>
    <t>Mock crime</t>
  </si>
  <si>
    <t>Cheating</t>
  </si>
  <si>
    <t>Other</t>
  </si>
  <si>
    <t>Label from M&amp;A sources</t>
  </si>
  <si>
    <t>Full/correct/our ID</t>
  </si>
  <si>
    <t>Publication year</t>
  </si>
  <si>
    <t>When data was collected</t>
  </si>
  <si>
    <t>Used in M&amp;A analyses</t>
  </si>
  <si>
    <t>Contributing to the Error or FC estimate</t>
  </si>
  <si>
    <t>0 = US; 1 = non-US</t>
  </si>
  <si>
    <t>Geographical location of data collection</t>
  </si>
  <si>
    <t>Identity of respondents</t>
  </si>
  <si>
    <t>Sample size</t>
  </si>
  <si>
    <t>Frequency of bin endorsement</t>
  </si>
  <si>
    <t>Survey options</t>
  </si>
  <si>
    <t>% error or % FC dependent on "Estimate"</t>
  </si>
  <si>
    <t>n error or n FC dependent on "Estimate"</t>
  </si>
  <si>
    <t>evidence-type for weighting</t>
  </si>
  <si>
    <t>yes = unique data in our sample, no = non-unique data in our sample</t>
  </si>
  <si>
    <t xml:space="preserve">identification of overlapping data sources </t>
  </si>
  <si>
    <t>comments about which estimate might be best to use if offered multiple, non-independent estimates by the same source</t>
  </si>
  <si>
    <t>Country where data was collected</t>
  </si>
  <si>
    <t>Experimental paradigm used</t>
  </si>
  <si>
    <t>Accusatorial false denial frequency</t>
  </si>
  <si>
    <t>Accusatorial true confession frequency</t>
  </si>
  <si>
    <t>Accusatorial true denial frequency</t>
  </si>
  <si>
    <t>Accusatorial false confession frequency</t>
  </si>
  <si>
    <t>Information-gathering false denial frequency</t>
  </si>
  <si>
    <t>Information-gathering true confession frequency</t>
  </si>
  <si>
    <t>Information-gathering true denial frequency</t>
  </si>
  <si>
    <t>Information-gathering false confession frequency</t>
  </si>
  <si>
    <t>Control (no tactic) false denial frequency</t>
  </si>
  <si>
    <t>Control (no tactic)  true confession frequency</t>
  </si>
  <si>
    <t>Control (no tactic)  true denial frequency</t>
  </si>
  <si>
    <t>Control (no tactic)  false confession frequency</t>
  </si>
  <si>
    <t>Brimbal et al. (2024)</t>
  </si>
  <si>
    <t>Texas</t>
  </si>
  <si>
    <t>partial false confession</t>
  </si>
  <si>
    <t>full false confession</t>
  </si>
  <si>
    <t>Brimbal makes an argument for combining, so we should either go with 26.2 or the full rate</t>
  </si>
  <si>
    <t>n</t>
  </si>
  <si>
    <t>p_est</t>
  </si>
  <si>
    <t>Tom: 0 was not reported in the data I received, so I assume nobody gave this response. I imputed it without verifying against the paper.</t>
  </si>
  <si>
    <t>missing</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</si>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</sst>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rgb="FF000000"/>
      <name val="Aptos Narrow"/>
      <family val="2"/>
      <scheme val="minor"/>
    </font>
    <font>
      <sz val="12"/>
      <color theme="1"/>
      <name val="Aptos Narrow"/>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2" borderId="0" xfId="0" applyFill="1"/>
    <xf numFmtId="0" fontId="2" fillId="2" borderId="0" xfId="0" applyFont="1" applyFill="1"/>
    <xf numFmtId="16" fontId="0" fillId="2" borderId="0" xfId="0" applyNumberFormat="1" applyFill="1"/>
    <xf numFmtId="16" fontId="0" fillId="0" borderId="0" xfId="0" applyNumberFormat="1"/>
    <xf numFmtId="0" fontId="3" fillId="0" borderId="0" xfId="0" applyFont="1"/>
    <xf numFmtId="0" fontId="0" fillId="3" borderId="0" xfId="0" applyFill="1"/>
    <xf numFmtId="0" fontId="0" fillId="2" borderId="0" xfId="0" applyFill="1" applyAlignment="1">
      <alignment horizontal="right"/>
    </xf>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F1BB-51AF-5E4A-B2E6-6CB5C46F8500}">
  <dimension ref="A1:V254"/>
  <sheetViews>
    <sheetView tabSelected="1" topLeftCell="B1" zoomScale="70" zoomScaleNormal="70" workbookViewId="0">
      <pane ySplit="1" topLeftCell="A17" activePane="bottomLeft" state="frozen"/>
      <selection pane="bottomLeft" activeCell="G17" sqref="G17"/>
    </sheetView>
  </sheetViews>
  <sheetFormatPr defaultColWidth="11.19921875" defaultRowHeight="15.6" x14ac:dyDescent="0.3"/>
  <cols>
    <col min="1" max="1" width="21" customWidth="1"/>
    <col min="2" max="2" width="27.796875" customWidth="1"/>
    <col min="3" max="3" width="21" customWidth="1"/>
    <col min="8" max="8" width="30.5" customWidth="1"/>
    <col min="9" max="9" width="34" customWidth="1"/>
    <col min="18" max="18" width="16.796875" customWidth="1"/>
    <col min="20" max="20" width="38.19921875" customWidth="1"/>
  </cols>
  <sheetData>
    <row r="1" spans="1:22" s="1" customFormat="1" x14ac:dyDescent="0.3">
      <c r="A1" s="1" t="s">
        <v>25</v>
      </c>
      <c r="B1" s="1" t="s">
        <v>26</v>
      </c>
      <c r="C1" s="1" t="s">
        <v>22</v>
      </c>
      <c r="D1" s="1" t="s">
        <v>0</v>
      </c>
      <c r="E1" s="1" t="s">
        <v>1</v>
      </c>
      <c r="F1" s="1" t="s">
        <v>2</v>
      </c>
      <c r="G1" s="1" t="s">
        <v>226</v>
      </c>
      <c r="H1" s="1" t="s">
        <v>54</v>
      </c>
      <c r="I1" s="1" t="s">
        <v>39</v>
      </c>
      <c r="J1" s="1" t="s">
        <v>42</v>
      </c>
      <c r="K1" s="1" t="s">
        <v>128</v>
      </c>
      <c r="L1" s="1" t="s">
        <v>129</v>
      </c>
      <c r="M1" s="1" t="s">
        <v>19</v>
      </c>
      <c r="N1" s="1" t="s">
        <v>20</v>
      </c>
      <c r="O1" s="1" t="s">
        <v>297</v>
      </c>
      <c r="P1" s="1" t="s">
        <v>298</v>
      </c>
      <c r="Q1" s="1" t="s">
        <v>301</v>
      </c>
      <c r="R1" s="1" t="s">
        <v>21</v>
      </c>
      <c r="S1" s="1" t="s">
        <v>29</v>
      </c>
      <c r="T1" s="1" t="s">
        <v>30</v>
      </c>
      <c r="U1" s="1" t="s">
        <v>23</v>
      </c>
      <c r="V1" s="1" t="s">
        <v>159</v>
      </c>
    </row>
    <row r="2" spans="1:22" s="3" customFormat="1" x14ac:dyDescent="0.3">
      <c r="A2" s="3" t="s">
        <v>3</v>
      </c>
      <c r="B2" s="3" t="s">
        <v>3</v>
      </c>
      <c r="C2" s="3">
        <v>1986</v>
      </c>
      <c r="E2" s="3" t="s">
        <v>4</v>
      </c>
      <c r="F2" s="3" t="s">
        <v>5</v>
      </c>
      <c r="G2" s="3">
        <v>0</v>
      </c>
      <c r="H2" s="3" t="s">
        <v>110</v>
      </c>
      <c r="I2" s="3" t="s">
        <v>111</v>
      </c>
      <c r="J2" s="3">
        <v>229</v>
      </c>
      <c r="K2" s="3">
        <v>0</v>
      </c>
      <c r="L2" s="3">
        <v>10</v>
      </c>
      <c r="O2" s="3">
        <f>L2</f>
        <v>10</v>
      </c>
      <c r="P2" s="3">
        <v>0</v>
      </c>
      <c r="Q2" t="b">
        <v>1</v>
      </c>
      <c r="R2" s="3" t="s">
        <v>51</v>
      </c>
      <c r="S2" s="3" t="s">
        <v>58</v>
      </c>
      <c r="U2" s="3" t="s">
        <v>161</v>
      </c>
    </row>
    <row r="3" spans="1:22" s="3" customFormat="1" x14ac:dyDescent="0.3">
      <c r="A3" s="3" t="s">
        <v>3</v>
      </c>
      <c r="B3" s="3" t="s">
        <v>3</v>
      </c>
      <c r="C3" s="3">
        <v>1986</v>
      </c>
      <c r="E3" s="3" t="s">
        <v>4</v>
      </c>
      <c r="F3" s="3" t="s">
        <v>5</v>
      </c>
      <c r="G3" s="3">
        <v>0</v>
      </c>
      <c r="H3" s="3" t="s">
        <v>110</v>
      </c>
      <c r="I3" s="3" t="s">
        <v>111</v>
      </c>
      <c r="J3" s="3">
        <v>229</v>
      </c>
      <c r="K3" s="3" t="s">
        <v>112</v>
      </c>
      <c r="L3" s="3">
        <v>127</v>
      </c>
      <c r="O3" s="3">
        <f t="shared" ref="O3:O67" si="0">L3</f>
        <v>127</v>
      </c>
      <c r="P3" s="3">
        <v>5.0000000000000001E-3</v>
      </c>
      <c r="Q3" t="b">
        <v>1</v>
      </c>
      <c r="R3" s="3" t="s">
        <v>51</v>
      </c>
      <c r="S3" s="3" t="s">
        <v>58</v>
      </c>
    </row>
    <row r="4" spans="1:22" s="3" customFormat="1" x14ac:dyDescent="0.3">
      <c r="A4" s="3" t="s">
        <v>3</v>
      </c>
      <c r="B4" s="3" t="s">
        <v>3</v>
      </c>
      <c r="C4" s="3">
        <v>1986</v>
      </c>
      <c r="E4" s="3" t="s">
        <v>4</v>
      </c>
      <c r="F4" s="3" t="s">
        <v>5</v>
      </c>
      <c r="G4" s="3">
        <v>0</v>
      </c>
      <c r="H4" s="3" t="s">
        <v>110</v>
      </c>
      <c r="I4" s="3" t="s">
        <v>111</v>
      </c>
      <c r="J4" s="3">
        <v>229</v>
      </c>
      <c r="K4" s="3" t="s">
        <v>113</v>
      </c>
      <c r="L4" s="3">
        <v>36</v>
      </c>
      <c r="O4" s="3">
        <f t="shared" si="0"/>
        <v>36</v>
      </c>
      <c r="P4" s="3">
        <v>0.03</v>
      </c>
      <c r="Q4" t="b">
        <v>1</v>
      </c>
      <c r="R4" s="3" t="s">
        <v>51</v>
      </c>
      <c r="S4" s="3" t="s">
        <v>58</v>
      </c>
    </row>
    <row r="5" spans="1:22" s="3" customFormat="1" x14ac:dyDescent="0.3">
      <c r="A5" s="3" t="s">
        <v>3</v>
      </c>
      <c r="B5" s="3" t="s">
        <v>3</v>
      </c>
      <c r="C5" s="3">
        <v>1986</v>
      </c>
      <c r="E5" s="3" t="s">
        <v>4</v>
      </c>
      <c r="F5" s="3" t="s">
        <v>5</v>
      </c>
      <c r="G5" s="3">
        <v>0</v>
      </c>
      <c r="H5" s="3" t="s">
        <v>110</v>
      </c>
      <c r="I5" s="3" t="s">
        <v>111</v>
      </c>
      <c r="J5" s="3">
        <v>229</v>
      </c>
      <c r="K5" s="3" t="s">
        <v>38</v>
      </c>
      <c r="L5" s="3">
        <v>4</v>
      </c>
      <c r="O5" s="3">
        <f t="shared" si="0"/>
        <v>4</v>
      </c>
      <c r="P5" s="3">
        <v>0.08</v>
      </c>
      <c r="Q5" t="b">
        <v>1</v>
      </c>
      <c r="R5" s="3" t="s">
        <v>51</v>
      </c>
      <c r="S5" s="3" t="s">
        <v>58</v>
      </c>
    </row>
    <row r="6" spans="1:22" x14ac:dyDescent="0.3">
      <c r="A6" t="s">
        <v>6</v>
      </c>
      <c r="B6" t="s">
        <v>87</v>
      </c>
      <c r="C6">
        <v>2007</v>
      </c>
      <c r="E6" t="s">
        <v>4</v>
      </c>
      <c r="F6" t="s">
        <v>5</v>
      </c>
      <c r="G6">
        <v>0</v>
      </c>
      <c r="H6" t="s">
        <v>88</v>
      </c>
      <c r="I6" t="s">
        <v>40</v>
      </c>
      <c r="J6">
        <v>267</v>
      </c>
      <c r="K6">
        <v>0</v>
      </c>
      <c r="L6">
        <v>3</v>
      </c>
      <c r="O6" s="3">
        <f t="shared" si="0"/>
        <v>3</v>
      </c>
      <c r="P6">
        <v>0</v>
      </c>
      <c r="Q6" t="b">
        <v>1</v>
      </c>
      <c r="R6" t="s">
        <v>51</v>
      </c>
      <c r="S6" t="s">
        <v>31</v>
      </c>
      <c r="T6" t="s">
        <v>50</v>
      </c>
      <c r="V6" t="s">
        <v>162</v>
      </c>
    </row>
    <row r="7" spans="1:22" x14ac:dyDescent="0.3">
      <c r="A7" t="s">
        <v>6</v>
      </c>
      <c r="B7" t="s">
        <v>87</v>
      </c>
      <c r="C7">
        <v>2007</v>
      </c>
      <c r="E7" t="s">
        <v>4</v>
      </c>
      <c r="F7" t="s">
        <v>5</v>
      </c>
      <c r="G7">
        <v>0</v>
      </c>
      <c r="H7" t="s">
        <v>88</v>
      </c>
      <c r="I7" t="s">
        <v>40</v>
      </c>
      <c r="J7">
        <v>267</v>
      </c>
      <c r="K7" t="s">
        <v>34</v>
      </c>
      <c r="L7">
        <v>57</v>
      </c>
      <c r="O7" s="3">
        <f t="shared" si="0"/>
        <v>57</v>
      </c>
      <c r="P7">
        <v>2.5000000000000001E-3</v>
      </c>
      <c r="Q7" t="b">
        <v>1</v>
      </c>
      <c r="R7" t="s">
        <v>51</v>
      </c>
      <c r="S7" t="s">
        <v>31</v>
      </c>
    </row>
    <row r="8" spans="1:22" x14ac:dyDescent="0.3">
      <c r="A8" t="s">
        <v>6</v>
      </c>
      <c r="B8" t="s">
        <v>87</v>
      </c>
      <c r="C8">
        <v>2007</v>
      </c>
      <c r="E8" t="s">
        <v>4</v>
      </c>
      <c r="F8" t="s">
        <v>5</v>
      </c>
      <c r="G8">
        <v>0</v>
      </c>
      <c r="H8" t="s">
        <v>88</v>
      </c>
      <c r="I8" t="s">
        <v>40</v>
      </c>
      <c r="J8">
        <v>267</v>
      </c>
      <c r="K8" t="s">
        <v>41</v>
      </c>
      <c r="L8">
        <v>63</v>
      </c>
      <c r="O8" s="3">
        <f t="shared" si="0"/>
        <v>63</v>
      </c>
      <c r="P8">
        <v>7.4999999999999997E-3</v>
      </c>
      <c r="Q8" t="b">
        <v>1</v>
      </c>
      <c r="R8" t="s">
        <v>51</v>
      </c>
      <c r="S8" t="s">
        <v>31</v>
      </c>
    </row>
    <row r="9" spans="1:22" x14ac:dyDescent="0.3">
      <c r="A9" t="s">
        <v>6</v>
      </c>
      <c r="B9" t="s">
        <v>87</v>
      </c>
      <c r="C9">
        <v>2007</v>
      </c>
      <c r="E9" t="s">
        <v>4</v>
      </c>
      <c r="F9" t="s">
        <v>5</v>
      </c>
      <c r="G9">
        <v>0</v>
      </c>
      <c r="H9" t="s">
        <v>88</v>
      </c>
      <c r="I9" t="s">
        <v>40</v>
      </c>
      <c r="J9">
        <v>267</v>
      </c>
      <c r="K9" t="s">
        <v>36</v>
      </c>
      <c r="L9">
        <v>79</v>
      </c>
      <c r="O9" s="3">
        <f t="shared" si="0"/>
        <v>79</v>
      </c>
      <c r="P9">
        <v>0.02</v>
      </c>
      <c r="Q9" t="b">
        <v>1</v>
      </c>
      <c r="R9" t="s">
        <v>51</v>
      </c>
      <c r="S9" t="s">
        <v>31</v>
      </c>
    </row>
    <row r="10" spans="1:22" x14ac:dyDescent="0.3">
      <c r="A10" t="s">
        <v>6</v>
      </c>
      <c r="B10" t="s">
        <v>87</v>
      </c>
      <c r="C10">
        <v>2007</v>
      </c>
      <c r="E10" t="s">
        <v>4</v>
      </c>
      <c r="F10" t="s">
        <v>5</v>
      </c>
      <c r="G10">
        <v>0</v>
      </c>
      <c r="H10" t="s">
        <v>88</v>
      </c>
      <c r="I10" t="s">
        <v>40</v>
      </c>
      <c r="J10">
        <v>267</v>
      </c>
      <c r="K10" t="s">
        <v>37</v>
      </c>
      <c r="L10">
        <v>38</v>
      </c>
      <c r="O10" s="3">
        <f t="shared" si="0"/>
        <v>38</v>
      </c>
      <c r="P10">
        <v>4.4999999999999998E-2</v>
      </c>
      <c r="Q10" t="b">
        <v>1</v>
      </c>
      <c r="R10" t="s">
        <v>51</v>
      </c>
      <c r="S10" t="s">
        <v>31</v>
      </c>
    </row>
    <row r="11" spans="1:22" x14ac:dyDescent="0.3">
      <c r="A11" t="s">
        <v>6</v>
      </c>
      <c r="B11" t="s">
        <v>87</v>
      </c>
      <c r="C11">
        <v>2007</v>
      </c>
      <c r="E11" t="s">
        <v>4</v>
      </c>
      <c r="F11" t="s">
        <v>5</v>
      </c>
      <c r="G11">
        <v>0</v>
      </c>
      <c r="H11" t="s">
        <v>88</v>
      </c>
      <c r="I11" t="s">
        <v>40</v>
      </c>
      <c r="J11">
        <v>267</v>
      </c>
      <c r="K11" t="s">
        <v>38</v>
      </c>
      <c r="L11">
        <v>14</v>
      </c>
      <c r="O11" s="3">
        <f t="shared" si="0"/>
        <v>14</v>
      </c>
      <c r="P11">
        <v>0.08</v>
      </c>
      <c r="Q11" t="b">
        <v>1</v>
      </c>
      <c r="R11" t="s">
        <v>51</v>
      </c>
      <c r="S11" t="s">
        <v>31</v>
      </c>
    </row>
    <row r="12" spans="1:22" x14ac:dyDescent="0.3">
      <c r="A12" t="s">
        <v>6</v>
      </c>
      <c r="B12" t="s">
        <v>87</v>
      </c>
      <c r="C12">
        <v>2007</v>
      </c>
      <c r="E12" t="s">
        <v>4</v>
      </c>
      <c r="F12" t="s">
        <v>5</v>
      </c>
      <c r="G12">
        <v>0</v>
      </c>
      <c r="H12" t="s">
        <v>88</v>
      </c>
      <c r="I12" t="s">
        <v>40</v>
      </c>
      <c r="J12">
        <v>267</v>
      </c>
      <c r="K12" t="s">
        <v>45</v>
      </c>
      <c r="L12">
        <v>6</v>
      </c>
      <c r="O12" s="3">
        <f t="shared" si="0"/>
        <v>6</v>
      </c>
      <c r="P12">
        <v>0.13</v>
      </c>
      <c r="Q12" t="b">
        <v>1</v>
      </c>
      <c r="R12" t="s">
        <v>51</v>
      </c>
      <c r="S12" t="s">
        <v>31</v>
      </c>
    </row>
    <row r="13" spans="1:22" x14ac:dyDescent="0.3">
      <c r="A13" t="s">
        <v>6</v>
      </c>
      <c r="B13" t="s">
        <v>87</v>
      </c>
      <c r="C13">
        <v>2007</v>
      </c>
      <c r="E13" t="s">
        <v>4</v>
      </c>
      <c r="F13" t="s">
        <v>5</v>
      </c>
      <c r="G13">
        <v>0</v>
      </c>
      <c r="H13" t="s">
        <v>88</v>
      </c>
      <c r="I13" t="s">
        <v>40</v>
      </c>
      <c r="J13">
        <v>267</v>
      </c>
      <c r="K13" t="s">
        <v>46</v>
      </c>
      <c r="L13">
        <v>6</v>
      </c>
      <c r="O13" s="3">
        <f t="shared" si="0"/>
        <v>6</v>
      </c>
      <c r="P13">
        <v>0.18</v>
      </c>
      <c r="Q13" t="b">
        <v>1</v>
      </c>
      <c r="R13" t="s">
        <v>51</v>
      </c>
      <c r="S13" t="s">
        <v>31</v>
      </c>
    </row>
    <row r="14" spans="1:22" x14ac:dyDescent="0.3">
      <c r="A14" t="s">
        <v>6</v>
      </c>
      <c r="B14" t="s">
        <v>87</v>
      </c>
      <c r="C14">
        <v>2007</v>
      </c>
      <c r="E14" t="s">
        <v>4</v>
      </c>
      <c r="F14" t="s">
        <v>5</v>
      </c>
      <c r="G14">
        <v>0</v>
      </c>
      <c r="H14" t="s">
        <v>88</v>
      </c>
      <c r="I14" t="s">
        <v>40</v>
      </c>
      <c r="J14">
        <v>267</v>
      </c>
      <c r="K14" t="s">
        <v>47</v>
      </c>
      <c r="L14">
        <v>1</v>
      </c>
      <c r="O14" s="3">
        <f t="shared" si="0"/>
        <v>1</v>
      </c>
      <c r="P14">
        <v>0.23</v>
      </c>
      <c r="Q14" t="b">
        <v>1</v>
      </c>
      <c r="R14" t="s">
        <v>51</v>
      </c>
      <c r="S14" t="s">
        <v>31</v>
      </c>
    </row>
    <row r="15" spans="1:22" x14ac:dyDescent="0.3">
      <c r="A15" t="s">
        <v>6</v>
      </c>
      <c r="B15" t="s">
        <v>87</v>
      </c>
      <c r="C15">
        <v>2007</v>
      </c>
      <c r="E15" t="s">
        <v>4</v>
      </c>
      <c r="F15" t="s">
        <v>5</v>
      </c>
      <c r="G15">
        <v>0</v>
      </c>
      <c r="H15" t="s">
        <v>88</v>
      </c>
      <c r="I15" t="s">
        <v>40</v>
      </c>
      <c r="J15">
        <v>267</v>
      </c>
      <c r="K15" t="s">
        <v>48</v>
      </c>
      <c r="L15">
        <v>0</v>
      </c>
      <c r="O15" s="3">
        <f t="shared" si="0"/>
        <v>0</v>
      </c>
      <c r="P15">
        <v>0.4</v>
      </c>
      <c r="Q15" t="b">
        <v>1</v>
      </c>
      <c r="R15" t="s">
        <v>51</v>
      </c>
      <c r="S15" t="s">
        <v>31</v>
      </c>
    </row>
    <row r="16" spans="1:22" x14ac:dyDescent="0.3">
      <c r="A16" t="s">
        <v>6</v>
      </c>
      <c r="B16" t="s">
        <v>87</v>
      </c>
      <c r="C16">
        <v>2007</v>
      </c>
      <c r="E16" t="s">
        <v>4</v>
      </c>
      <c r="F16" t="s">
        <v>5</v>
      </c>
      <c r="G16">
        <v>0</v>
      </c>
      <c r="H16" t="s">
        <v>88</v>
      </c>
      <c r="I16" t="s">
        <v>43</v>
      </c>
      <c r="J16">
        <v>96</v>
      </c>
      <c r="K16">
        <v>0</v>
      </c>
      <c r="L16">
        <v>1</v>
      </c>
      <c r="O16" s="3">
        <f t="shared" si="0"/>
        <v>1</v>
      </c>
      <c r="P16">
        <v>0</v>
      </c>
      <c r="Q16" t="b">
        <v>1</v>
      </c>
      <c r="R16" t="s">
        <v>51</v>
      </c>
      <c r="S16" t="s">
        <v>31</v>
      </c>
    </row>
    <row r="17" spans="1:19" x14ac:dyDescent="0.3">
      <c r="A17" t="s">
        <v>6</v>
      </c>
      <c r="B17" t="s">
        <v>87</v>
      </c>
      <c r="C17">
        <v>2007</v>
      </c>
      <c r="E17" t="s">
        <v>4</v>
      </c>
      <c r="F17" t="s">
        <v>5</v>
      </c>
      <c r="G17">
        <v>0</v>
      </c>
      <c r="H17" t="s">
        <v>88</v>
      </c>
      <c r="I17" t="s">
        <v>43</v>
      </c>
      <c r="J17">
        <v>96</v>
      </c>
      <c r="K17" t="s">
        <v>34</v>
      </c>
      <c r="L17">
        <v>29</v>
      </c>
      <c r="O17" s="3">
        <f t="shared" si="0"/>
        <v>29</v>
      </c>
      <c r="P17">
        <v>2.5000000000000001E-3</v>
      </c>
      <c r="Q17" t="b">
        <v>1</v>
      </c>
      <c r="R17" t="s">
        <v>51</v>
      </c>
      <c r="S17" t="s">
        <v>31</v>
      </c>
    </row>
    <row r="18" spans="1:19" x14ac:dyDescent="0.3">
      <c r="A18" t="s">
        <v>6</v>
      </c>
      <c r="B18" t="s">
        <v>87</v>
      </c>
      <c r="C18">
        <v>2007</v>
      </c>
      <c r="E18" t="s">
        <v>4</v>
      </c>
      <c r="F18" t="s">
        <v>5</v>
      </c>
      <c r="G18">
        <v>0</v>
      </c>
      <c r="H18" t="s">
        <v>88</v>
      </c>
      <c r="I18" t="s">
        <v>43</v>
      </c>
      <c r="J18">
        <v>96</v>
      </c>
      <c r="K18" t="s">
        <v>41</v>
      </c>
      <c r="L18">
        <v>30</v>
      </c>
      <c r="O18" s="3">
        <f t="shared" si="0"/>
        <v>30</v>
      </c>
      <c r="P18">
        <v>7.4999999999999997E-3</v>
      </c>
      <c r="Q18" t="b">
        <v>1</v>
      </c>
      <c r="R18" t="s">
        <v>51</v>
      </c>
      <c r="S18" t="s">
        <v>31</v>
      </c>
    </row>
    <row r="19" spans="1:19" x14ac:dyDescent="0.3">
      <c r="A19" t="s">
        <v>6</v>
      </c>
      <c r="B19" t="s">
        <v>87</v>
      </c>
      <c r="C19">
        <v>2007</v>
      </c>
      <c r="E19" t="s">
        <v>4</v>
      </c>
      <c r="F19" t="s">
        <v>5</v>
      </c>
      <c r="G19">
        <v>0</v>
      </c>
      <c r="H19" t="s">
        <v>88</v>
      </c>
      <c r="I19" t="s">
        <v>43</v>
      </c>
      <c r="J19">
        <v>96</v>
      </c>
      <c r="K19" t="s">
        <v>36</v>
      </c>
      <c r="L19">
        <v>23</v>
      </c>
      <c r="O19" s="3">
        <f t="shared" si="0"/>
        <v>23</v>
      </c>
      <c r="P19">
        <v>0.03</v>
      </c>
      <c r="Q19" t="b">
        <v>1</v>
      </c>
      <c r="R19" t="s">
        <v>51</v>
      </c>
      <c r="S19" t="s">
        <v>31</v>
      </c>
    </row>
    <row r="20" spans="1:19" x14ac:dyDescent="0.3">
      <c r="A20" t="s">
        <v>6</v>
      </c>
      <c r="B20" t="s">
        <v>87</v>
      </c>
      <c r="C20">
        <v>2007</v>
      </c>
      <c r="E20" t="s">
        <v>4</v>
      </c>
      <c r="F20" t="s">
        <v>5</v>
      </c>
      <c r="G20">
        <v>0</v>
      </c>
      <c r="H20" t="s">
        <v>88</v>
      </c>
      <c r="I20" t="s">
        <v>43</v>
      </c>
      <c r="J20">
        <v>96</v>
      </c>
      <c r="K20" t="s">
        <v>37</v>
      </c>
      <c r="L20">
        <v>10</v>
      </c>
      <c r="O20" s="3">
        <f t="shared" si="0"/>
        <v>10</v>
      </c>
      <c r="P20">
        <v>4.4999999999999998E-2</v>
      </c>
      <c r="Q20" t="b">
        <v>1</v>
      </c>
      <c r="R20" t="s">
        <v>51</v>
      </c>
      <c r="S20" t="s">
        <v>31</v>
      </c>
    </row>
    <row r="21" spans="1:19" x14ac:dyDescent="0.3">
      <c r="A21" t="s">
        <v>6</v>
      </c>
      <c r="B21" t="s">
        <v>87</v>
      </c>
      <c r="C21">
        <v>2007</v>
      </c>
      <c r="E21" t="s">
        <v>4</v>
      </c>
      <c r="F21" t="s">
        <v>5</v>
      </c>
      <c r="G21">
        <v>0</v>
      </c>
      <c r="H21" t="s">
        <v>88</v>
      </c>
      <c r="I21" t="s">
        <v>43</v>
      </c>
      <c r="J21">
        <v>96</v>
      </c>
      <c r="K21" t="s">
        <v>38</v>
      </c>
      <c r="L21">
        <v>1</v>
      </c>
      <c r="O21" s="3">
        <f t="shared" si="0"/>
        <v>1</v>
      </c>
      <c r="P21">
        <v>0.08</v>
      </c>
      <c r="Q21" t="b">
        <v>1</v>
      </c>
      <c r="R21" t="s">
        <v>51</v>
      </c>
      <c r="S21" t="s">
        <v>31</v>
      </c>
    </row>
    <row r="22" spans="1:19" x14ac:dyDescent="0.3">
      <c r="A22" t="s">
        <v>6</v>
      </c>
      <c r="B22" t="s">
        <v>87</v>
      </c>
      <c r="C22">
        <v>2007</v>
      </c>
      <c r="E22" t="s">
        <v>4</v>
      </c>
      <c r="F22" t="s">
        <v>5</v>
      </c>
      <c r="G22">
        <v>0</v>
      </c>
      <c r="H22" t="s">
        <v>88</v>
      </c>
      <c r="I22" t="s">
        <v>43</v>
      </c>
      <c r="J22">
        <v>96</v>
      </c>
      <c r="K22" t="s">
        <v>45</v>
      </c>
      <c r="L22">
        <v>2</v>
      </c>
      <c r="O22" s="3">
        <f t="shared" si="0"/>
        <v>2</v>
      </c>
      <c r="P22">
        <v>0.13</v>
      </c>
      <c r="Q22" t="b">
        <v>1</v>
      </c>
      <c r="R22" t="s">
        <v>51</v>
      </c>
      <c r="S22" t="s">
        <v>31</v>
      </c>
    </row>
    <row r="23" spans="1:19" x14ac:dyDescent="0.3">
      <c r="A23" t="s">
        <v>6</v>
      </c>
      <c r="B23" t="s">
        <v>87</v>
      </c>
      <c r="C23">
        <v>2007</v>
      </c>
      <c r="E23" t="s">
        <v>4</v>
      </c>
      <c r="F23" t="s">
        <v>5</v>
      </c>
      <c r="G23">
        <v>0</v>
      </c>
      <c r="H23" t="s">
        <v>88</v>
      </c>
      <c r="I23" t="s">
        <v>43</v>
      </c>
      <c r="J23">
        <v>96</v>
      </c>
      <c r="K23" t="s">
        <v>46</v>
      </c>
      <c r="L23">
        <v>0</v>
      </c>
      <c r="O23" s="3">
        <f t="shared" si="0"/>
        <v>0</v>
      </c>
      <c r="P23">
        <v>0.18</v>
      </c>
      <c r="Q23" t="b">
        <v>1</v>
      </c>
      <c r="R23" t="s">
        <v>51</v>
      </c>
      <c r="S23" t="s">
        <v>31</v>
      </c>
    </row>
    <row r="24" spans="1:19" x14ac:dyDescent="0.3">
      <c r="A24" t="s">
        <v>6</v>
      </c>
      <c r="B24" t="s">
        <v>87</v>
      </c>
      <c r="C24">
        <v>2007</v>
      </c>
      <c r="E24" t="s">
        <v>4</v>
      </c>
      <c r="F24" t="s">
        <v>5</v>
      </c>
      <c r="G24">
        <v>0</v>
      </c>
      <c r="H24" t="s">
        <v>88</v>
      </c>
      <c r="I24" t="s">
        <v>43</v>
      </c>
      <c r="J24">
        <v>96</v>
      </c>
      <c r="K24" t="s">
        <v>47</v>
      </c>
      <c r="L24">
        <v>0</v>
      </c>
      <c r="O24" s="3">
        <f t="shared" si="0"/>
        <v>0</v>
      </c>
      <c r="P24">
        <v>0.23</v>
      </c>
      <c r="Q24" t="b">
        <v>1</v>
      </c>
      <c r="R24" t="s">
        <v>51</v>
      </c>
      <c r="S24" t="s">
        <v>31</v>
      </c>
    </row>
    <row r="25" spans="1:19" x14ac:dyDescent="0.3">
      <c r="A25" t="s">
        <v>6</v>
      </c>
      <c r="B25" t="s">
        <v>87</v>
      </c>
      <c r="C25">
        <v>2007</v>
      </c>
      <c r="E25" t="s">
        <v>4</v>
      </c>
      <c r="F25" t="s">
        <v>5</v>
      </c>
      <c r="G25">
        <v>0</v>
      </c>
      <c r="H25" t="s">
        <v>88</v>
      </c>
      <c r="I25" t="s">
        <v>43</v>
      </c>
      <c r="J25">
        <v>96</v>
      </c>
      <c r="K25" t="s">
        <v>48</v>
      </c>
      <c r="L25">
        <v>0</v>
      </c>
      <c r="O25" s="3">
        <f t="shared" si="0"/>
        <v>0</v>
      </c>
      <c r="P25">
        <v>0.4</v>
      </c>
      <c r="Q25" t="b">
        <v>1</v>
      </c>
      <c r="R25" t="s">
        <v>51</v>
      </c>
      <c r="S25" t="s">
        <v>31</v>
      </c>
    </row>
    <row r="26" spans="1:19" x14ac:dyDescent="0.3">
      <c r="A26" t="s">
        <v>6</v>
      </c>
      <c r="B26" t="s">
        <v>87</v>
      </c>
      <c r="C26">
        <v>2007</v>
      </c>
      <c r="E26" t="s">
        <v>4</v>
      </c>
      <c r="F26" t="s">
        <v>5</v>
      </c>
      <c r="G26">
        <v>0</v>
      </c>
      <c r="H26" t="s">
        <v>88</v>
      </c>
      <c r="I26" t="s">
        <v>44</v>
      </c>
      <c r="J26">
        <v>216</v>
      </c>
      <c r="K26">
        <v>0</v>
      </c>
      <c r="L26">
        <v>1</v>
      </c>
      <c r="O26" s="3">
        <f t="shared" si="0"/>
        <v>1</v>
      </c>
      <c r="P26">
        <v>0</v>
      </c>
      <c r="Q26" t="b">
        <v>1</v>
      </c>
      <c r="R26" t="s">
        <v>51</v>
      </c>
      <c r="S26" t="s">
        <v>31</v>
      </c>
    </row>
    <row r="27" spans="1:19" x14ac:dyDescent="0.3">
      <c r="A27" t="s">
        <v>6</v>
      </c>
      <c r="B27" t="s">
        <v>87</v>
      </c>
      <c r="C27">
        <v>2007</v>
      </c>
      <c r="E27" t="s">
        <v>4</v>
      </c>
      <c r="F27" t="s">
        <v>5</v>
      </c>
      <c r="G27">
        <v>0</v>
      </c>
      <c r="H27" t="s">
        <v>88</v>
      </c>
      <c r="I27" t="s">
        <v>44</v>
      </c>
      <c r="J27">
        <v>216</v>
      </c>
      <c r="K27" t="s">
        <v>34</v>
      </c>
      <c r="L27">
        <v>4</v>
      </c>
      <c r="O27" s="3">
        <f t="shared" si="0"/>
        <v>4</v>
      </c>
      <c r="P27">
        <v>2.5000000000000001E-3</v>
      </c>
      <c r="Q27" t="b">
        <v>1</v>
      </c>
      <c r="R27" t="s">
        <v>51</v>
      </c>
      <c r="S27" t="s">
        <v>31</v>
      </c>
    </row>
    <row r="28" spans="1:19" x14ac:dyDescent="0.3">
      <c r="A28" t="s">
        <v>6</v>
      </c>
      <c r="B28" t="s">
        <v>87</v>
      </c>
      <c r="C28">
        <v>2007</v>
      </c>
      <c r="E28" t="s">
        <v>4</v>
      </c>
      <c r="F28" t="s">
        <v>5</v>
      </c>
      <c r="G28">
        <v>0</v>
      </c>
      <c r="H28" t="s">
        <v>88</v>
      </c>
      <c r="I28" t="s">
        <v>44</v>
      </c>
      <c r="J28">
        <v>216</v>
      </c>
      <c r="K28" t="s">
        <v>41</v>
      </c>
      <c r="L28">
        <v>13</v>
      </c>
      <c r="O28" s="3">
        <f t="shared" si="0"/>
        <v>13</v>
      </c>
      <c r="P28">
        <v>7.4999999999999997E-3</v>
      </c>
      <c r="Q28" t="b">
        <v>1</v>
      </c>
      <c r="R28" t="s">
        <v>51</v>
      </c>
      <c r="S28" t="s">
        <v>31</v>
      </c>
    </row>
    <row r="29" spans="1:19" x14ac:dyDescent="0.3">
      <c r="A29" t="s">
        <v>6</v>
      </c>
      <c r="B29" t="s">
        <v>87</v>
      </c>
      <c r="C29">
        <v>2007</v>
      </c>
      <c r="E29" t="s">
        <v>4</v>
      </c>
      <c r="F29" t="s">
        <v>5</v>
      </c>
      <c r="G29">
        <v>0</v>
      </c>
      <c r="H29" t="s">
        <v>88</v>
      </c>
      <c r="I29" t="s">
        <v>44</v>
      </c>
      <c r="J29">
        <v>216</v>
      </c>
      <c r="K29" t="s">
        <v>36</v>
      </c>
      <c r="L29">
        <v>31</v>
      </c>
      <c r="O29" s="3">
        <f t="shared" si="0"/>
        <v>31</v>
      </c>
      <c r="P29">
        <v>0.02</v>
      </c>
      <c r="Q29" t="b">
        <v>1</v>
      </c>
      <c r="R29" t="s">
        <v>51</v>
      </c>
      <c r="S29" t="s">
        <v>31</v>
      </c>
    </row>
    <row r="30" spans="1:19" x14ac:dyDescent="0.3">
      <c r="A30" t="s">
        <v>6</v>
      </c>
      <c r="B30" t="s">
        <v>87</v>
      </c>
      <c r="C30">
        <v>2007</v>
      </c>
      <c r="E30" t="s">
        <v>4</v>
      </c>
      <c r="F30" t="s">
        <v>5</v>
      </c>
      <c r="G30">
        <v>0</v>
      </c>
      <c r="H30" t="s">
        <v>88</v>
      </c>
      <c r="I30" t="s">
        <v>44</v>
      </c>
      <c r="J30">
        <v>216</v>
      </c>
      <c r="K30" t="s">
        <v>37</v>
      </c>
      <c r="L30">
        <v>56</v>
      </c>
      <c r="O30" s="3">
        <f t="shared" si="0"/>
        <v>56</v>
      </c>
      <c r="P30">
        <v>4.4999999999999998E-2</v>
      </c>
      <c r="Q30" t="b">
        <v>1</v>
      </c>
      <c r="R30" t="s">
        <v>51</v>
      </c>
      <c r="S30" t="s">
        <v>31</v>
      </c>
    </row>
    <row r="31" spans="1:19" x14ac:dyDescent="0.3">
      <c r="A31" t="s">
        <v>6</v>
      </c>
      <c r="B31" t="s">
        <v>87</v>
      </c>
      <c r="C31">
        <v>2007</v>
      </c>
      <c r="E31" t="s">
        <v>4</v>
      </c>
      <c r="F31" t="s">
        <v>5</v>
      </c>
      <c r="G31">
        <v>0</v>
      </c>
      <c r="H31" t="s">
        <v>88</v>
      </c>
      <c r="I31" t="s">
        <v>44</v>
      </c>
      <c r="J31">
        <v>216</v>
      </c>
      <c r="K31" t="s">
        <v>38</v>
      </c>
      <c r="L31">
        <v>42</v>
      </c>
      <c r="O31" s="3">
        <f t="shared" si="0"/>
        <v>42</v>
      </c>
      <c r="P31">
        <v>0.08</v>
      </c>
      <c r="Q31" t="b">
        <v>1</v>
      </c>
      <c r="R31" t="s">
        <v>51</v>
      </c>
      <c r="S31" t="s">
        <v>31</v>
      </c>
    </row>
    <row r="32" spans="1:19" x14ac:dyDescent="0.3">
      <c r="A32" t="s">
        <v>6</v>
      </c>
      <c r="B32" t="s">
        <v>87</v>
      </c>
      <c r="C32">
        <v>2007</v>
      </c>
      <c r="E32" t="s">
        <v>4</v>
      </c>
      <c r="F32" t="s">
        <v>5</v>
      </c>
      <c r="G32">
        <v>0</v>
      </c>
      <c r="H32" t="s">
        <v>88</v>
      </c>
      <c r="I32" t="s">
        <v>44</v>
      </c>
      <c r="J32">
        <v>216</v>
      </c>
      <c r="K32" t="s">
        <v>45</v>
      </c>
      <c r="L32">
        <v>19</v>
      </c>
      <c r="O32" s="3">
        <f t="shared" si="0"/>
        <v>19</v>
      </c>
      <c r="P32">
        <v>0.13</v>
      </c>
      <c r="Q32" t="b">
        <v>1</v>
      </c>
      <c r="R32" t="s">
        <v>51</v>
      </c>
      <c r="S32" t="s">
        <v>31</v>
      </c>
    </row>
    <row r="33" spans="1:22" x14ac:dyDescent="0.3">
      <c r="A33" t="s">
        <v>6</v>
      </c>
      <c r="B33" t="s">
        <v>87</v>
      </c>
      <c r="C33">
        <v>2007</v>
      </c>
      <c r="E33" t="s">
        <v>4</v>
      </c>
      <c r="F33" t="s">
        <v>5</v>
      </c>
      <c r="G33">
        <v>0</v>
      </c>
      <c r="H33" t="s">
        <v>88</v>
      </c>
      <c r="I33" t="s">
        <v>44</v>
      </c>
      <c r="J33">
        <v>216</v>
      </c>
      <c r="K33" t="s">
        <v>46</v>
      </c>
      <c r="L33">
        <v>28</v>
      </c>
      <c r="O33" s="3">
        <f t="shared" si="0"/>
        <v>28</v>
      </c>
      <c r="P33">
        <v>0.18</v>
      </c>
      <c r="Q33" t="b">
        <v>1</v>
      </c>
      <c r="R33" t="s">
        <v>51</v>
      </c>
      <c r="S33" t="s">
        <v>31</v>
      </c>
    </row>
    <row r="34" spans="1:22" x14ac:dyDescent="0.3">
      <c r="A34" t="s">
        <v>6</v>
      </c>
      <c r="B34" t="s">
        <v>87</v>
      </c>
      <c r="C34">
        <v>2007</v>
      </c>
      <c r="E34" t="s">
        <v>4</v>
      </c>
      <c r="F34" t="s">
        <v>5</v>
      </c>
      <c r="G34">
        <v>0</v>
      </c>
      <c r="H34" t="s">
        <v>88</v>
      </c>
      <c r="I34" t="s">
        <v>44</v>
      </c>
      <c r="J34">
        <v>216</v>
      </c>
      <c r="K34" t="s">
        <v>47</v>
      </c>
      <c r="L34">
        <v>5</v>
      </c>
      <c r="O34" s="3">
        <f t="shared" si="0"/>
        <v>5</v>
      </c>
      <c r="P34">
        <v>0.23</v>
      </c>
      <c r="Q34" t="b">
        <v>1</v>
      </c>
      <c r="R34" t="s">
        <v>51</v>
      </c>
      <c r="S34" t="s">
        <v>31</v>
      </c>
    </row>
    <row r="35" spans="1:22" x14ac:dyDescent="0.3">
      <c r="A35" t="s">
        <v>6</v>
      </c>
      <c r="B35" t="s">
        <v>87</v>
      </c>
      <c r="C35">
        <v>2007</v>
      </c>
      <c r="E35" t="s">
        <v>4</v>
      </c>
      <c r="F35" t="s">
        <v>5</v>
      </c>
      <c r="G35">
        <v>0</v>
      </c>
      <c r="H35" t="s">
        <v>88</v>
      </c>
      <c r="I35" t="s">
        <v>44</v>
      </c>
      <c r="J35">
        <v>216</v>
      </c>
      <c r="K35" t="s">
        <v>48</v>
      </c>
      <c r="L35">
        <v>17</v>
      </c>
      <c r="O35" s="3">
        <f t="shared" si="0"/>
        <v>17</v>
      </c>
      <c r="P35">
        <v>0.4</v>
      </c>
      <c r="Q35" t="b">
        <v>1</v>
      </c>
      <c r="R35" t="s">
        <v>51</v>
      </c>
      <c r="S35" t="s">
        <v>31</v>
      </c>
    </row>
    <row r="36" spans="1:22" s="8" customFormat="1" x14ac:dyDescent="0.3">
      <c r="A36" s="8" t="s">
        <v>6</v>
      </c>
      <c r="B36" s="8" t="s">
        <v>87</v>
      </c>
      <c r="C36" s="8">
        <v>2007</v>
      </c>
      <c r="E36" s="8" t="s">
        <v>4</v>
      </c>
      <c r="F36" s="8" t="s">
        <v>5</v>
      </c>
      <c r="G36" s="8">
        <v>0</v>
      </c>
      <c r="H36" s="8" t="s">
        <v>88</v>
      </c>
      <c r="I36" s="8" t="s">
        <v>49</v>
      </c>
      <c r="J36" s="8">
        <v>153</v>
      </c>
      <c r="K36" s="8">
        <v>0</v>
      </c>
      <c r="L36" s="8">
        <v>0</v>
      </c>
      <c r="O36" s="8">
        <f t="shared" si="0"/>
        <v>0</v>
      </c>
      <c r="P36" s="8">
        <v>0</v>
      </c>
      <c r="Q36" t="b">
        <v>1</v>
      </c>
      <c r="R36" s="8" t="s">
        <v>51</v>
      </c>
      <c r="S36" s="8" t="s">
        <v>31</v>
      </c>
      <c r="U36" s="8" t="s">
        <v>299</v>
      </c>
    </row>
    <row r="37" spans="1:22" x14ac:dyDescent="0.3">
      <c r="A37" t="s">
        <v>6</v>
      </c>
      <c r="B37" t="s">
        <v>87</v>
      </c>
      <c r="C37">
        <v>2007</v>
      </c>
      <c r="E37" t="s">
        <v>4</v>
      </c>
      <c r="F37" t="s">
        <v>5</v>
      </c>
      <c r="G37">
        <v>0</v>
      </c>
      <c r="H37" t="s">
        <v>88</v>
      </c>
      <c r="I37" t="s">
        <v>49</v>
      </c>
      <c r="J37">
        <v>153</v>
      </c>
      <c r="K37" t="s">
        <v>34</v>
      </c>
      <c r="L37">
        <v>26</v>
      </c>
      <c r="O37" s="3">
        <f t="shared" si="0"/>
        <v>26</v>
      </c>
      <c r="P37">
        <v>2.5000000000000001E-3</v>
      </c>
      <c r="Q37" t="b">
        <v>1</v>
      </c>
      <c r="R37" t="s">
        <v>51</v>
      </c>
      <c r="S37" t="s">
        <v>31</v>
      </c>
    </row>
    <row r="38" spans="1:22" x14ac:dyDescent="0.3">
      <c r="A38" t="s">
        <v>6</v>
      </c>
      <c r="B38" t="s">
        <v>87</v>
      </c>
      <c r="C38">
        <v>2007</v>
      </c>
      <c r="E38" t="s">
        <v>4</v>
      </c>
      <c r="F38" t="s">
        <v>5</v>
      </c>
      <c r="G38">
        <v>0</v>
      </c>
      <c r="H38" t="s">
        <v>88</v>
      </c>
      <c r="I38" t="s">
        <v>49</v>
      </c>
      <c r="J38">
        <v>153</v>
      </c>
      <c r="K38" t="s">
        <v>41</v>
      </c>
      <c r="L38">
        <v>31</v>
      </c>
      <c r="O38" s="3">
        <f t="shared" si="0"/>
        <v>31</v>
      </c>
      <c r="P38">
        <v>7.4999999999999997E-3</v>
      </c>
      <c r="Q38" t="b">
        <v>1</v>
      </c>
      <c r="R38" t="s">
        <v>51</v>
      </c>
      <c r="S38" t="s">
        <v>31</v>
      </c>
    </row>
    <row r="39" spans="1:22" x14ac:dyDescent="0.3">
      <c r="A39" t="s">
        <v>6</v>
      </c>
      <c r="B39" t="s">
        <v>87</v>
      </c>
      <c r="C39">
        <v>2007</v>
      </c>
      <c r="E39" t="s">
        <v>4</v>
      </c>
      <c r="F39" t="s">
        <v>5</v>
      </c>
      <c r="G39">
        <v>0</v>
      </c>
      <c r="H39" t="s">
        <v>88</v>
      </c>
      <c r="I39" t="s">
        <v>49</v>
      </c>
      <c r="J39">
        <v>153</v>
      </c>
      <c r="K39" t="s">
        <v>36</v>
      </c>
      <c r="L39">
        <v>43</v>
      </c>
      <c r="O39" s="3">
        <f t="shared" si="0"/>
        <v>43</v>
      </c>
      <c r="P39">
        <v>0.02</v>
      </c>
      <c r="Q39" t="b">
        <v>1</v>
      </c>
      <c r="R39" t="s">
        <v>51</v>
      </c>
      <c r="S39" t="s">
        <v>31</v>
      </c>
    </row>
    <row r="40" spans="1:22" x14ac:dyDescent="0.3">
      <c r="A40" t="s">
        <v>6</v>
      </c>
      <c r="B40" t="s">
        <v>87</v>
      </c>
      <c r="C40">
        <v>2007</v>
      </c>
      <c r="E40" t="s">
        <v>4</v>
      </c>
      <c r="F40" t="s">
        <v>5</v>
      </c>
      <c r="G40">
        <v>0</v>
      </c>
      <c r="H40" t="s">
        <v>88</v>
      </c>
      <c r="I40" t="s">
        <v>49</v>
      </c>
      <c r="J40">
        <v>153</v>
      </c>
      <c r="K40" t="s">
        <v>37</v>
      </c>
      <c r="L40">
        <v>28</v>
      </c>
      <c r="O40" s="3">
        <f t="shared" si="0"/>
        <v>28</v>
      </c>
      <c r="P40">
        <v>4.4999999999999998E-2</v>
      </c>
      <c r="Q40" t="b">
        <v>1</v>
      </c>
      <c r="R40" t="s">
        <v>51</v>
      </c>
      <c r="S40" t="s">
        <v>31</v>
      </c>
    </row>
    <row r="41" spans="1:22" x14ac:dyDescent="0.3">
      <c r="A41" t="s">
        <v>6</v>
      </c>
      <c r="B41" t="s">
        <v>87</v>
      </c>
      <c r="C41">
        <v>2007</v>
      </c>
      <c r="E41" t="s">
        <v>4</v>
      </c>
      <c r="F41" t="s">
        <v>5</v>
      </c>
      <c r="G41">
        <v>0</v>
      </c>
      <c r="H41" t="s">
        <v>88</v>
      </c>
      <c r="I41" t="s">
        <v>49</v>
      </c>
      <c r="J41">
        <v>153</v>
      </c>
      <c r="K41" t="s">
        <v>38</v>
      </c>
      <c r="L41">
        <v>16</v>
      </c>
      <c r="O41" s="3">
        <f t="shared" si="0"/>
        <v>16</v>
      </c>
      <c r="P41">
        <v>0.08</v>
      </c>
      <c r="Q41" t="b">
        <v>1</v>
      </c>
      <c r="R41" t="s">
        <v>51</v>
      </c>
      <c r="S41" t="s">
        <v>31</v>
      </c>
    </row>
    <row r="42" spans="1:22" x14ac:dyDescent="0.3">
      <c r="A42" t="s">
        <v>6</v>
      </c>
      <c r="B42" t="s">
        <v>87</v>
      </c>
      <c r="C42">
        <v>2007</v>
      </c>
      <c r="E42" t="s">
        <v>4</v>
      </c>
      <c r="F42" t="s">
        <v>5</v>
      </c>
      <c r="G42">
        <v>0</v>
      </c>
      <c r="H42" t="s">
        <v>88</v>
      </c>
      <c r="I42" t="s">
        <v>49</v>
      </c>
      <c r="J42">
        <v>153</v>
      </c>
      <c r="K42" t="s">
        <v>45</v>
      </c>
      <c r="L42">
        <v>6</v>
      </c>
      <c r="O42" s="3">
        <f t="shared" si="0"/>
        <v>6</v>
      </c>
      <c r="P42">
        <v>0.13</v>
      </c>
      <c r="Q42" t="b">
        <v>1</v>
      </c>
      <c r="R42" t="s">
        <v>51</v>
      </c>
      <c r="S42" t="s">
        <v>31</v>
      </c>
    </row>
    <row r="43" spans="1:22" x14ac:dyDescent="0.3">
      <c r="A43" t="s">
        <v>6</v>
      </c>
      <c r="B43" t="s">
        <v>87</v>
      </c>
      <c r="C43">
        <v>2007</v>
      </c>
      <c r="E43" t="s">
        <v>4</v>
      </c>
      <c r="F43" t="s">
        <v>5</v>
      </c>
      <c r="G43">
        <v>0</v>
      </c>
      <c r="H43" t="s">
        <v>88</v>
      </c>
      <c r="I43" t="s">
        <v>49</v>
      </c>
      <c r="J43">
        <v>153</v>
      </c>
      <c r="K43" t="s">
        <v>46</v>
      </c>
      <c r="L43">
        <v>2</v>
      </c>
      <c r="O43" s="3">
        <f t="shared" si="0"/>
        <v>2</v>
      </c>
      <c r="P43">
        <v>0.18</v>
      </c>
      <c r="Q43" t="b">
        <v>1</v>
      </c>
      <c r="R43" t="s">
        <v>51</v>
      </c>
      <c r="S43" t="s">
        <v>31</v>
      </c>
    </row>
    <row r="44" spans="1:22" x14ac:dyDescent="0.3">
      <c r="A44" t="s">
        <v>6</v>
      </c>
      <c r="B44" t="s">
        <v>87</v>
      </c>
      <c r="C44">
        <v>2007</v>
      </c>
      <c r="E44" t="s">
        <v>4</v>
      </c>
      <c r="F44" t="s">
        <v>5</v>
      </c>
      <c r="G44">
        <v>0</v>
      </c>
      <c r="H44" t="s">
        <v>88</v>
      </c>
      <c r="I44" t="s">
        <v>49</v>
      </c>
      <c r="J44">
        <v>153</v>
      </c>
      <c r="K44" t="s">
        <v>47</v>
      </c>
      <c r="L44">
        <v>0</v>
      </c>
      <c r="O44" s="3">
        <f t="shared" si="0"/>
        <v>0</v>
      </c>
      <c r="P44">
        <v>0.23</v>
      </c>
      <c r="Q44" t="b">
        <v>1</v>
      </c>
      <c r="R44" t="s">
        <v>51</v>
      </c>
      <c r="S44" t="s">
        <v>31</v>
      </c>
    </row>
    <row r="45" spans="1:22" x14ac:dyDescent="0.3">
      <c r="A45" t="s">
        <v>6</v>
      </c>
      <c r="B45" t="s">
        <v>87</v>
      </c>
      <c r="C45">
        <v>2007</v>
      </c>
      <c r="E45" t="s">
        <v>4</v>
      </c>
      <c r="F45" t="s">
        <v>5</v>
      </c>
      <c r="G45">
        <v>0</v>
      </c>
      <c r="H45" t="s">
        <v>88</v>
      </c>
      <c r="I45" t="s">
        <v>49</v>
      </c>
      <c r="J45">
        <v>153</v>
      </c>
      <c r="K45" t="s">
        <v>48</v>
      </c>
      <c r="L45">
        <v>1</v>
      </c>
      <c r="O45" s="3">
        <f t="shared" si="0"/>
        <v>1</v>
      </c>
      <c r="P45">
        <v>0.4</v>
      </c>
      <c r="Q45" t="b">
        <v>1</v>
      </c>
      <c r="R45" t="s">
        <v>51</v>
      </c>
      <c r="S45" t="s">
        <v>31</v>
      </c>
    </row>
    <row r="46" spans="1:22" s="3" customFormat="1" x14ac:dyDescent="0.3">
      <c r="A46" s="3" t="s">
        <v>7</v>
      </c>
      <c r="B46" s="3" t="s">
        <v>87</v>
      </c>
      <c r="C46" s="3">
        <v>2007</v>
      </c>
      <c r="E46" s="3" t="s">
        <v>4</v>
      </c>
      <c r="F46" s="3" t="s">
        <v>5</v>
      </c>
      <c r="G46" s="3">
        <v>0</v>
      </c>
      <c r="H46" s="3" t="s">
        <v>88</v>
      </c>
      <c r="I46" s="3" t="s">
        <v>40</v>
      </c>
      <c r="J46" s="3">
        <v>274</v>
      </c>
      <c r="K46" s="3">
        <v>0</v>
      </c>
      <c r="L46" s="3">
        <v>91</v>
      </c>
      <c r="O46" s="3">
        <f t="shared" si="0"/>
        <v>91</v>
      </c>
      <c r="P46" s="3">
        <v>0</v>
      </c>
      <c r="Q46" t="b">
        <v>1</v>
      </c>
      <c r="R46" s="3" t="s">
        <v>51</v>
      </c>
      <c r="S46" s="3" t="s">
        <v>31</v>
      </c>
      <c r="T46" s="3" t="s">
        <v>50</v>
      </c>
      <c r="V46" s="3" t="s">
        <v>162</v>
      </c>
    </row>
    <row r="47" spans="1:22" s="3" customFormat="1" x14ac:dyDescent="0.3">
      <c r="A47" s="3" t="s">
        <v>7</v>
      </c>
      <c r="B47" s="3" t="s">
        <v>87</v>
      </c>
      <c r="C47" s="3">
        <v>2007</v>
      </c>
      <c r="E47" s="3" t="s">
        <v>4</v>
      </c>
      <c r="F47" s="3" t="s">
        <v>5</v>
      </c>
      <c r="G47" s="3">
        <v>0</v>
      </c>
      <c r="H47" s="3" t="s">
        <v>88</v>
      </c>
      <c r="I47" s="3" t="s">
        <v>40</v>
      </c>
      <c r="J47" s="3">
        <v>274</v>
      </c>
      <c r="K47" s="3" t="s">
        <v>34</v>
      </c>
      <c r="L47" s="3">
        <v>119</v>
      </c>
      <c r="O47" s="3">
        <f t="shared" si="0"/>
        <v>119</v>
      </c>
      <c r="P47" s="3">
        <v>2.5000000000000001E-3</v>
      </c>
      <c r="Q47" t="b">
        <v>1</v>
      </c>
      <c r="R47" s="3" t="s">
        <v>51</v>
      </c>
      <c r="S47" s="3" t="s">
        <v>31</v>
      </c>
    </row>
    <row r="48" spans="1:22" s="3" customFormat="1" x14ac:dyDescent="0.3">
      <c r="A48" s="3" t="s">
        <v>7</v>
      </c>
      <c r="B48" s="3" t="s">
        <v>87</v>
      </c>
      <c r="C48" s="3">
        <v>2007</v>
      </c>
      <c r="E48" s="3" t="s">
        <v>4</v>
      </c>
      <c r="F48" s="3" t="s">
        <v>5</v>
      </c>
      <c r="G48" s="3">
        <v>0</v>
      </c>
      <c r="H48" s="3" t="s">
        <v>88</v>
      </c>
      <c r="I48" s="3" t="s">
        <v>40</v>
      </c>
      <c r="J48" s="3">
        <v>274</v>
      </c>
      <c r="K48" s="3" t="s">
        <v>41</v>
      </c>
      <c r="L48" s="3">
        <v>37</v>
      </c>
      <c r="O48" s="3">
        <f t="shared" si="0"/>
        <v>37</v>
      </c>
      <c r="P48" s="3">
        <v>7.4999999999999997E-3</v>
      </c>
      <c r="Q48" t="b">
        <v>1</v>
      </c>
      <c r="R48" s="3" t="s">
        <v>51</v>
      </c>
      <c r="S48" s="3" t="s">
        <v>31</v>
      </c>
    </row>
    <row r="49" spans="1:19" s="3" customFormat="1" x14ac:dyDescent="0.3">
      <c r="A49" s="3" t="s">
        <v>7</v>
      </c>
      <c r="B49" s="3" t="s">
        <v>87</v>
      </c>
      <c r="C49" s="3">
        <v>2007</v>
      </c>
      <c r="E49" s="3" t="s">
        <v>4</v>
      </c>
      <c r="F49" s="3" t="s">
        <v>5</v>
      </c>
      <c r="G49" s="3">
        <v>0</v>
      </c>
      <c r="H49" s="3" t="s">
        <v>88</v>
      </c>
      <c r="I49" s="3" t="s">
        <v>40</v>
      </c>
      <c r="J49" s="3">
        <v>274</v>
      </c>
      <c r="K49" s="3" t="s">
        <v>36</v>
      </c>
      <c r="L49" s="3">
        <v>17</v>
      </c>
      <c r="O49" s="3">
        <f t="shared" si="0"/>
        <v>17</v>
      </c>
      <c r="P49" s="3">
        <v>0.02</v>
      </c>
      <c r="Q49" t="b">
        <v>1</v>
      </c>
      <c r="R49" s="3" t="s">
        <v>51</v>
      </c>
      <c r="S49" s="3" t="s">
        <v>31</v>
      </c>
    </row>
    <row r="50" spans="1:19" s="3" customFormat="1" x14ac:dyDescent="0.3">
      <c r="A50" s="3" t="s">
        <v>7</v>
      </c>
      <c r="B50" s="3" t="s">
        <v>87</v>
      </c>
      <c r="C50" s="3">
        <v>2007</v>
      </c>
      <c r="E50" s="3" t="s">
        <v>4</v>
      </c>
      <c r="F50" s="3" t="s">
        <v>5</v>
      </c>
      <c r="G50" s="3">
        <v>0</v>
      </c>
      <c r="H50" s="3" t="s">
        <v>88</v>
      </c>
      <c r="I50" s="3" t="s">
        <v>40</v>
      </c>
      <c r="J50" s="3">
        <v>274</v>
      </c>
      <c r="K50" s="3" t="s">
        <v>37</v>
      </c>
      <c r="L50" s="3">
        <v>9</v>
      </c>
      <c r="O50" s="3">
        <f t="shared" si="0"/>
        <v>9</v>
      </c>
      <c r="P50" s="3">
        <v>4.4999999999999998E-2</v>
      </c>
      <c r="Q50" t="b">
        <v>1</v>
      </c>
      <c r="R50" s="3" t="s">
        <v>51</v>
      </c>
      <c r="S50" s="3" t="s">
        <v>31</v>
      </c>
    </row>
    <row r="51" spans="1:19" s="3" customFormat="1" x14ac:dyDescent="0.3">
      <c r="A51" s="3" t="s">
        <v>7</v>
      </c>
      <c r="B51" s="3" t="s">
        <v>87</v>
      </c>
      <c r="C51" s="3">
        <v>2007</v>
      </c>
      <c r="E51" s="3" t="s">
        <v>4</v>
      </c>
      <c r="F51" s="3" t="s">
        <v>5</v>
      </c>
      <c r="G51" s="3">
        <v>0</v>
      </c>
      <c r="H51" s="3" t="s">
        <v>88</v>
      </c>
      <c r="I51" s="3" t="s">
        <v>40</v>
      </c>
      <c r="J51" s="3">
        <v>274</v>
      </c>
      <c r="K51" s="3" t="s">
        <v>38</v>
      </c>
      <c r="L51" s="3">
        <v>1</v>
      </c>
      <c r="O51" s="3">
        <f t="shared" si="0"/>
        <v>1</v>
      </c>
      <c r="P51" s="3">
        <v>0.08</v>
      </c>
      <c r="Q51" t="b">
        <v>1</v>
      </c>
      <c r="R51" s="3" t="s">
        <v>51</v>
      </c>
      <c r="S51" s="3" t="s">
        <v>31</v>
      </c>
    </row>
    <row r="52" spans="1:19" s="3" customFormat="1" x14ac:dyDescent="0.3">
      <c r="A52" s="3" t="s">
        <v>7</v>
      </c>
      <c r="B52" s="3" t="s">
        <v>87</v>
      </c>
      <c r="C52" s="3">
        <v>2007</v>
      </c>
      <c r="E52" s="3" t="s">
        <v>4</v>
      </c>
      <c r="F52" s="3" t="s">
        <v>5</v>
      </c>
      <c r="G52" s="3">
        <v>0</v>
      </c>
      <c r="H52" s="3" t="s">
        <v>88</v>
      </c>
      <c r="I52" s="3" t="s">
        <v>40</v>
      </c>
      <c r="J52" s="3">
        <v>274</v>
      </c>
      <c r="K52" s="3" t="s">
        <v>45</v>
      </c>
      <c r="L52" s="3">
        <v>0</v>
      </c>
      <c r="O52" s="3">
        <f t="shared" si="0"/>
        <v>0</v>
      </c>
      <c r="P52" s="3">
        <v>0.13</v>
      </c>
      <c r="Q52" t="b">
        <v>1</v>
      </c>
      <c r="R52" s="3" t="s">
        <v>51</v>
      </c>
      <c r="S52" s="3" t="s">
        <v>31</v>
      </c>
    </row>
    <row r="53" spans="1:19" s="3" customFormat="1" x14ac:dyDescent="0.3">
      <c r="A53" s="3" t="s">
        <v>7</v>
      </c>
      <c r="B53" s="3" t="s">
        <v>87</v>
      </c>
      <c r="C53" s="3">
        <v>2007</v>
      </c>
      <c r="E53" s="3" t="s">
        <v>4</v>
      </c>
      <c r="F53" s="3" t="s">
        <v>5</v>
      </c>
      <c r="G53" s="3">
        <v>0</v>
      </c>
      <c r="H53" s="3" t="s">
        <v>88</v>
      </c>
      <c r="I53" s="3" t="s">
        <v>40</v>
      </c>
      <c r="J53" s="3">
        <v>274</v>
      </c>
      <c r="K53" s="3" t="s">
        <v>46</v>
      </c>
      <c r="L53" s="3">
        <v>0</v>
      </c>
      <c r="O53" s="3">
        <f t="shared" si="0"/>
        <v>0</v>
      </c>
      <c r="P53" s="3">
        <v>0.18</v>
      </c>
      <c r="Q53" t="b">
        <v>1</v>
      </c>
      <c r="R53" s="3" t="s">
        <v>51</v>
      </c>
      <c r="S53" s="3" t="s">
        <v>31</v>
      </c>
    </row>
    <row r="54" spans="1:19" s="3" customFormat="1" x14ac:dyDescent="0.3">
      <c r="A54" s="3" t="s">
        <v>7</v>
      </c>
      <c r="B54" s="3" t="s">
        <v>87</v>
      </c>
      <c r="C54" s="3">
        <v>2007</v>
      </c>
      <c r="E54" s="3" t="s">
        <v>4</v>
      </c>
      <c r="F54" s="3" t="s">
        <v>5</v>
      </c>
      <c r="G54" s="3">
        <v>0</v>
      </c>
      <c r="H54" s="3" t="s">
        <v>88</v>
      </c>
      <c r="I54" s="3" t="s">
        <v>40</v>
      </c>
      <c r="J54" s="3">
        <v>274</v>
      </c>
      <c r="K54" s="3" t="s">
        <v>47</v>
      </c>
      <c r="L54" s="3">
        <v>0</v>
      </c>
      <c r="O54" s="3">
        <f t="shared" si="0"/>
        <v>0</v>
      </c>
      <c r="P54" s="3">
        <v>0.23</v>
      </c>
      <c r="Q54" t="b">
        <v>1</v>
      </c>
      <c r="R54" s="3" t="s">
        <v>51</v>
      </c>
      <c r="S54" s="3" t="s">
        <v>31</v>
      </c>
    </row>
    <row r="55" spans="1:19" s="3" customFormat="1" x14ac:dyDescent="0.3">
      <c r="A55" s="3" t="s">
        <v>7</v>
      </c>
      <c r="B55" s="3" t="s">
        <v>87</v>
      </c>
      <c r="C55" s="3">
        <v>2007</v>
      </c>
      <c r="E55" s="3" t="s">
        <v>4</v>
      </c>
      <c r="F55" s="3" t="s">
        <v>5</v>
      </c>
      <c r="G55" s="3">
        <v>0</v>
      </c>
      <c r="H55" s="3" t="s">
        <v>88</v>
      </c>
      <c r="I55" s="3" t="s">
        <v>40</v>
      </c>
      <c r="J55" s="3">
        <v>274</v>
      </c>
      <c r="K55" s="3" t="s">
        <v>48</v>
      </c>
      <c r="L55" s="3">
        <v>0</v>
      </c>
      <c r="O55" s="3">
        <f t="shared" si="0"/>
        <v>0</v>
      </c>
      <c r="P55" s="3">
        <v>0.4</v>
      </c>
      <c r="Q55" t="b">
        <v>1</v>
      </c>
      <c r="R55" s="3" t="s">
        <v>51</v>
      </c>
      <c r="S55" s="3" t="s">
        <v>31</v>
      </c>
    </row>
    <row r="56" spans="1:19" s="3" customFormat="1" x14ac:dyDescent="0.3">
      <c r="A56" s="3" t="s">
        <v>7</v>
      </c>
      <c r="B56" s="3" t="s">
        <v>87</v>
      </c>
      <c r="C56" s="3">
        <v>2007</v>
      </c>
      <c r="E56" s="3" t="s">
        <v>4</v>
      </c>
      <c r="F56" s="3" t="s">
        <v>5</v>
      </c>
      <c r="G56" s="3">
        <v>0</v>
      </c>
      <c r="H56" s="3" t="s">
        <v>88</v>
      </c>
      <c r="I56" s="3" t="s">
        <v>43</v>
      </c>
      <c r="J56" s="3">
        <v>100</v>
      </c>
      <c r="K56" s="3">
        <v>0</v>
      </c>
      <c r="L56" s="3">
        <v>29</v>
      </c>
      <c r="O56" s="3">
        <f t="shared" si="0"/>
        <v>29</v>
      </c>
      <c r="P56" s="3">
        <v>0</v>
      </c>
      <c r="Q56" t="b">
        <v>1</v>
      </c>
      <c r="R56" s="3" t="s">
        <v>51</v>
      </c>
      <c r="S56" s="3" t="s">
        <v>31</v>
      </c>
    </row>
    <row r="57" spans="1:19" s="3" customFormat="1" x14ac:dyDescent="0.3">
      <c r="A57" s="3" t="s">
        <v>7</v>
      </c>
      <c r="B57" s="3" t="s">
        <v>87</v>
      </c>
      <c r="C57" s="3">
        <v>2007</v>
      </c>
      <c r="E57" s="3" t="s">
        <v>4</v>
      </c>
      <c r="F57" s="3" t="s">
        <v>5</v>
      </c>
      <c r="G57" s="3">
        <v>0</v>
      </c>
      <c r="H57" s="3" t="s">
        <v>88</v>
      </c>
      <c r="I57" s="3" t="s">
        <v>43</v>
      </c>
      <c r="J57" s="3">
        <v>100</v>
      </c>
      <c r="K57" s="3" t="s">
        <v>34</v>
      </c>
      <c r="L57" s="3">
        <v>49</v>
      </c>
      <c r="O57" s="3">
        <f t="shared" si="0"/>
        <v>49</v>
      </c>
      <c r="P57" s="3">
        <v>2.5000000000000001E-3</v>
      </c>
      <c r="Q57" t="b">
        <v>1</v>
      </c>
      <c r="R57" s="3" t="s">
        <v>51</v>
      </c>
      <c r="S57" s="3" t="s">
        <v>31</v>
      </c>
    </row>
    <row r="58" spans="1:19" s="3" customFormat="1" x14ac:dyDescent="0.3">
      <c r="A58" s="3" t="s">
        <v>7</v>
      </c>
      <c r="B58" s="3" t="s">
        <v>87</v>
      </c>
      <c r="C58" s="3">
        <v>2007</v>
      </c>
      <c r="E58" s="3" t="s">
        <v>4</v>
      </c>
      <c r="F58" s="3" t="s">
        <v>5</v>
      </c>
      <c r="G58" s="3">
        <v>0</v>
      </c>
      <c r="H58" s="3" t="s">
        <v>88</v>
      </c>
      <c r="I58" s="3" t="s">
        <v>43</v>
      </c>
      <c r="J58" s="3">
        <v>100</v>
      </c>
      <c r="K58" s="3" t="s">
        <v>41</v>
      </c>
      <c r="L58" s="3">
        <v>13</v>
      </c>
      <c r="O58" s="3">
        <f t="shared" si="0"/>
        <v>13</v>
      </c>
      <c r="P58" s="3">
        <v>7.4999999999999997E-3</v>
      </c>
      <c r="Q58" t="b">
        <v>1</v>
      </c>
      <c r="R58" s="3" t="s">
        <v>51</v>
      </c>
      <c r="S58" s="3" t="s">
        <v>31</v>
      </c>
    </row>
    <row r="59" spans="1:19" s="3" customFormat="1" x14ac:dyDescent="0.3">
      <c r="A59" s="3" t="s">
        <v>7</v>
      </c>
      <c r="B59" s="3" t="s">
        <v>87</v>
      </c>
      <c r="C59" s="3">
        <v>2007</v>
      </c>
      <c r="E59" s="3" t="s">
        <v>4</v>
      </c>
      <c r="F59" s="3" t="s">
        <v>5</v>
      </c>
      <c r="G59" s="3">
        <v>0</v>
      </c>
      <c r="H59" s="3" t="s">
        <v>88</v>
      </c>
      <c r="I59" s="3" t="s">
        <v>43</v>
      </c>
      <c r="J59" s="3">
        <v>100</v>
      </c>
      <c r="K59" s="3" t="s">
        <v>36</v>
      </c>
      <c r="L59" s="3">
        <v>6</v>
      </c>
      <c r="O59" s="3">
        <f t="shared" si="0"/>
        <v>6</v>
      </c>
      <c r="P59" s="3">
        <v>0.02</v>
      </c>
      <c r="Q59" t="b">
        <v>1</v>
      </c>
      <c r="R59" s="3" t="s">
        <v>51</v>
      </c>
      <c r="S59" s="3" t="s">
        <v>31</v>
      </c>
    </row>
    <row r="60" spans="1:19" s="3" customFormat="1" x14ac:dyDescent="0.3">
      <c r="A60" s="3" t="s">
        <v>7</v>
      </c>
      <c r="B60" s="3" t="s">
        <v>87</v>
      </c>
      <c r="C60" s="3">
        <v>2007</v>
      </c>
      <c r="E60" s="3" t="s">
        <v>4</v>
      </c>
      <c r="F60" s="3" t="s">
        <v>5</v>
      </c>
      <c r="G60" s="3">
        <v>0</v>
      </c>
      <c r="H60" s="3" t="s">
        <v>88</v>
      </c>
      <c r="I60" s="3" t="s">
        <v>43</v>
      </c>
      <c r="J60" s="3">
        <v>100</v>
      </c>
      <c r="K60" s="3" t="s">
        <v>37</v>
      </c>
      <c r="L60" s="3">
        <v>1</v>
      </c>
      <c r="O60" s="3">
        <f t="shared" si="0"/>
        <v>1</v>
      </c>
      <c r="P60" s="3">
        <v>4.4999999999999998E-2</v>
      </c>
      <c r="Q60" t="b">
        <v>1</v>
      </c>
      <c r="R60" s="3" t="s">
        <v>51</v>
      </c>
      <c r="S60" s="3" t="s">
        <v>31</v>
      </c>
    </row>
    <row r="61" spans="1:19" s="3" customFormat="1" x14ac:dyDescent="0.3">
      <c r="A61" s="3" t="s">
        <v>7</v>
      </c>
      <c r="B61" s="3" t="s">
        <v>87</v>
      </c>
      <c r="C61" s="3">
        <v>2007</v>
      </c>
      <c r="E61" s="3" t="s">
        <v>4</v>
      </c>
      <c r="F61" s="3" t="s">
        <v>5</v>
      </c>
      <c r="G61" s="3">
        <v>0</v>
      </c>
      <c r="H61" s="3" t="s">
        <v>88</v>
      </c>
      <c r="I61" s="3" t="s">
        <v>43</v>
      </c>
      <c r="J61" s="3">
        <v>100</v>
      </c>
      <c r="K61" s="3" t="s">
        <v>38</v>
      </c>
      <c r="L61" s="3">
        <v>2</v>
      </c>
      <c r="O61" s="3">
        <f t="shared" si="0"/>
        <v>2</v>
      </c>
      <c r="P61" s="3">
        <v>0.08</v>
      </c>
      <c r="Q61" t="b">
        <v>1</v>
      </c>
      <c r="R61" s="3" t="s">
        <v>51</v>
      </c>
      <c r="S61" s="3" t="s">
        <v>31</v>
      </c>
    </row>
    <row r="62" spans="1:19" s="3" customFormat="1" x14ac:dyDescent="0.3">
      <c r="A62" s="3" t="s">
        <v>7</v>
      </c>
      <c r="B62" s="3" t="s">
        <v>87</v>
      </c>
      <c r="C62" s="3">
        <v>2007</v>
      </c>
      <c r="E62" s="3" t="s">
        <v>4</v>
      </c>
      <c r="F62" s="3" t="s">
        <v>5</v>
      </c>
      <c r="G62" s="3">
        <v>0</v>
      </c>
      <c r="H62" s="3" t="s">
        <v>88</v>
      </c>
      <c r="I62" s="3" t="s">
        <v>43</v>
      </c>
      <c r="J62" s="3">
        <v>100</v>
      </c>
      <c r="K62" s="3" t="s">
        <v>45</v>
      </c>
      <c r="L62" s="3">
        <v>0</v>
      </c>
      <c r="O62" s="3">
        <f t="shared" si="0"/>
        <v>0</v>
      </c>
      <c r="P62" s="3">
        <v>0.13</v>
      </c>
      <c r="Q62" t="b">
        <v>1</v>
      </c>
      <c r="R62" s="3" t="s">
        <v>51</v>
      </c>
      <c r="S62" s="3" t="s">
        <v>31</v>
      </c>
    </row>
    <row r="63" spans="1:19" s="3" customFormat="1" x14ac:dyDescent="0.3">
      <c r="A63" s="3" t="s">
        <v>7</v>
      </c>
      <c r="B63" s="3" t="s">
        <v>87</v>
      </c>
      <c r="C63" s="3">
        <v>2007</v>
      </c>
      <c r="E63" s="3" t="s">
        <v>4</v>
      </c>
      <c r="F63" s="3" t="s">
        <v>5</v>
      </c>
      <c r="G63" s="3">
        <v>0</v>
      </c>
      <c r="H63" s="3" t="s">
        <v>88</v>
      </c>
      <c r="I63" s="3" t="s">
        <v>43</v>
      </c>
      <c r="J63" s="3">
        <v>100</v>
      </c>
      <c r="K63" s="3" t="s">
        <v>46</v>
      </c>
      <c r="L63" s="3">
        <v>0</v>
      </c>
      <c r="O63" s="3">
        <f t="shared" si="0"/>
        <v>0</v>
      </c>
      <c r="P63" s="3">
        <v>0.18</v>
      </c>
      <c r="Q63" t="b">
        <v>1</v>
      </c>
      <c r="R63" s="3" t="s">
        <v>51</v>
      </c>
      <c r="S63" s="3" t="s">
        <v>31</v>
      </c>
    </row>
    <row r="64" spans="1:19" s="3" customFormat="1" x14ac:dyDescent="0.3">
      <c r="A64" s="3" t="s">
        <v>7</v>
      </c>
      <c r="B64" s="3" t="s">
        <v>87</v>
      </c>
      <c r="C64" s="3">
        <v>2007</v>
      </c>
      <c r="E64" s="3" t="s">
        <v>4</v>
      </c>
      <c r="F64" s="3" t="s">
        <v>5</v>
      </c>
      <c r="G64" s="3">
        <v>0</v>
      </c>
      <c r="H64" s="3" t="s">
        <v>88</v>
      </c>
      <c r="I64" s="3" t="s">
        <v>43</v>
      </c>
      <c r="J64" s="3">
        <v>100</v>
      </c>
      <c r="K64" s="3" t="s">
        <v>47</v>
      </c>
      <c r="L64" s="3">
        <v>0</v>
      </c>
      <c r="O64" s="3">
        <f t="shared" si="0"/>
        <v>0</v>
      </c>
      <c r="P64" s="3">
        <v>0.23</v>
      </c>
      <c r="Q64" t="b">
        <v>1</v>
      </c>
      <c r="R64" s="3" t="s">
        <v>51</v>
      </c>
      <c r="S64" s="3" t="s">
        <v>31</v>
      </c>
    </row>
    <row r="65" spans="1:19" s="3" customFormat="1" x14ac:dyDescent="0.3">
      <c r="A65" s="3" t="s">
        <v>7</v>
      </c>
      <c r="B65" s="3" t="s">
        <v>87</v>
      </c>
      <c r="C65" s="3">
        <v>2007</v>
      </c>
      <c r="E65" s="3" t="s">
        <v>4</v>
      </c>
      <c r="F65" s="3" t="s">
        <v>5</v>
      </c>
      <c r="G65" s="3">
        <v>0</v>
      </c>
      <c r="H65" s="3" t="s">
        <v>88</v>
      </c>
      <c r="I65" s="3" t="s">
        <v>43</v>
      </c>
      <c r="J65" s="3">
        <v>100</v>
      </c>
      <c r="K65" s="3" t="s">
        <v>48</v>
      </c>
      <c r="L65" s="3">
        <v>0</v>
      </c>
      <c r="O65" s="3">
        <f t="shared" si="0"/>
        <v>0</v>
      </c>
      <c r="P65" s="3">
        <v>0.4</v>
      </c>
      <c r="Q65" t="b">
        <v>1</v>
      </c>
      <c r="R65" s="3" t="s">
        <v>51</v>
      </c>
      <c r="S65" s="3" t="s">
        <v>31</v>
      </c>
    </row>
    <row r="66" spans="1:19" s="3" customFormat="1" x14ac:dyDescent="0.3">
      <c r="A66" s="3" t="s">
        <v>7</v>
      </c>
      <c r="B66" s="3" t="s">
        <v>87</v>
      </c>
      <c r="C66" s="3">
        <v>2007</v>
      </c>
      <c r="E66" s="3" t="s">
        <v>4</v>
      </c>
      <c r="F66" s="3" t="s">
        <v>5</v>
      </c>
      <c r="G66" s="3">
        <v>0</v>
      </c>
      <c r="H66" s="3" t="s">
        <v>88</v>
      </c>
      <c r="I66" s="3" t="s">
        <v>44</v>
      </c>
      <c r="J66" s="3">
        <v>226</v>
      </c>
      <c r="K66" s="3">
        <v>0</v>
      </c>
      <c r="L66" s="3">
        <v>4</v>
      </c>
      <c r="O66" s="3">
        <f t="shared" si="0"/>
        <v>4</v>
      </c>
      <c r="P66" s="3">
        <v>0</v>
      </c>
      <c r="Q66" t="b">
        <v>1</v>
      </c>
      <c r="R66" s="3" t="s">
        <v>51</v>
      </c>
      <c r="S66" s="3" t="s">
        <v>31</v>
      </c>
    </row>
    <row r="67" spans="1:19" s="3" customFormat="1" x14ac:dyDescent="0.3">
      <c r="A67" s="3" t="s">
        <v>7</v>
      </c>
      <c r="B67" s="3" t="s">
        <v>87</v>
      </c>
      <c r="C67" s="3">
        <v>2007</v>
      </c>
      <c r="E67" s="3" t="s">
        <v>4</v>
      </c>
      <c r="F67" s="3" t="s">
        <v>5</v>
      </c>
      <c r="G67" s="3">
        <v>0</v>
      </c>
      <c r="H67" s="3" t="s">
        <v>88</v>
      </c>
      <c r="I67" s="3" t="s">
        <v>44</v>
      </c>
      <c r="J67" s="3">
        <v>226</v>
      </c>
      <c r="K67" s="3" t="s">
        <v>34</v>
      </c>
      <c r="L67" s="3">
        <v>5</v>
      </c>
      <c r="O67" s="3">
        <f t="shared" si="0"/>
        <v>5</v>
      </c>
      <c r="P67" s="3">
        <v>2.5000000000000001E-3</v>
      </c>
      <c r="Q67" t="b">
        <v>1</v>
      </c>
      <c r="R67" s="3" t="s">
        <v>51</v>
      </c>
      <c r="S67" s="3" t="s">
        <v>31</v>
      </c>
    </row>
    <row r="68" spans="1:19" s="3" customFormat="1" x14ac:dyDescent="0.3">
      <c r="A68" s="3" t="s">
        <v>7</v>
      </c>
      <c r="B68" s="3" t="s">
        <v>87</v>
      </c>
      <c r="C68" s="3">
        <v>2007</v>
      </c>
      <c r="E68" s="3" t="s">
        <v>4</v>
      </c>
      <c r="F68" s="3" t="s">
        <v>5</v>
      </c>
      <c r="G68" s="3">
        <v>0</v>
      </c>
      <c r="H68" s="3" t="s">
        <v>88</v>
      </c>
      <c r="I68" s="3" t="s">
        <v>44</v>
      </c>
      <c r="J68" s="3">
        <v>226</v>
      </c>
      <c r="K68" s="3" t="s">
        <v>41</v>
      </c>
      <c r="L68" s="3">
        <v>21</v>
      </c>
      <c r="O68" s="3">
        <f t="shared" ref="O68:O131" si="1">L68</f>
        <v>21</v>
      </c>
      <c r="P68" s="3">
        <v>7.4999999999999997E-3</v>
      </c>
      <c r="Q68" t="b">
        <v>1</v>
      </c>
      <c r="R68" s="3" t="s">
        <v>51</v>
      </c>
      <c r="S68" s="3" t="s">
        <v>31</v>
      </c>
    </row>
    <row r="69" spans="1:19" s="3" customFormat="1" x14ac:dyDescent="0.3">
      <c r="A69" s="3" t="s">
        <v>7</v>
      </c>
      <c r="B69" s="3" t="s">
        <v>87</v>
      </c>
      <c r="C69" s="3">
        <v>2007</v>
      </c>
      <c r="E69" s="3" t="s">
        <v>4</v>
      </c>
      <c r="F69" s="3" t="s">
        <v>5</v>
      </c>
      <c r="G69" s="3">
        <v>0</v>
      </c>
      <c r="H69" s="3" t="s">
        <v>88</v>
      </c>
      <c r="I69" s="3" t="s">
        <v>44</v>
      </c>
      <c r="J69" s="3">
        <v>226</v>
      </c>
      <c r="K69" s="3" t="s">
        <v>36</v>
      </c>
      <c r="L69" s="3">
        <v>60</v>
      </c>
      <c r="O69" s="3">
        <f t="shared" si="1"/>
        <v>60</v>
      </c>
      <c r="P69" s="3">
        <v>0.02</v>
      </c>
      <c r="Q69" t="b">
        <v>1</v>
      </c>
      <c r="R69" s="3" t="s">
        <v>51</v>
      </c>
      <c r="S69" s="3" t="s">
        <v>31</v>
      </c>
    </row>
    <row r="70" spans="1:19" s="3" customFormat="1" x14ac:dyDescent="0.3">
      <c r="A70" s="3" t="s">
        <v>7</v>
      </c>
      <c r="B70" s="3" t="s">
        <v>87</v>
      </c>
      <c r="C70" s="3">
        <v>2007</v>
      </c>
      <c r="E70" s="3" t="s">
        <v>4</v>
      </c>
      <c r="F70" s="3" t="s">
        <v>5</v>
      </c>
      <c r="G70" s="3">
        <v>0</v>
      </c>
      <c r="H70" s="3" t="s">
        <v>88</v>
      </c>
      <c r="I70" s="3" t="s">
        <v>44</v>
      </c>
      <c r="J70" s="3">
        <v>226</v>
      </c>
      <c r="K70" s="3" t="s">
        <v>37</v>
      </c>
      <c r="L70" s="3">
        <v>42</v>
      </c>
      <c r="O70" s="3">
        <f t="shared" si="1"/>
        <v>42</v>
      </c>
      <c r="P70" s="3">
        <v>4.4999999999999998E-2</v>
      </c>
      <c r="Q70" t="b">
        <v>1</v>
      </c>
      <c r="R70" s="3" t="s">
        <v>51</v>
      </c>
      <c r="S70" s="3" t="s">
        <v>31</v>
      </c>
    </row>
    <row r="71" spans="1:19" s="3" customFormat="1" x14ac:dyDescent="0.3">
      <c r="A71" s="3" t="s">
        <v>7</v>
      </c>
      <c r="B71" s="3" t="s">
        <v>87</v>
      </c>
      <c r="C71" s="3">
        <v>2007</v>
      </c>
      <c r="E71" s="3" t="s">
        <v>4</v>
      </c>
      <c r="F71" s="3" t="s">
        <v>5</v>
      </c>
      <c r="G71" s="3">
        <v>0</v>
      </c>
      <c r="H71" s="3" t="s">
        <v>88</v>
      </c>
      <c r="I71" s="3" t="s">
        <v>44</v>
      </c>
      <c r="J71" s="3">
        <v>226</v>
      </c>
      <c r="K71" s="3" t="s">
        <v>38</v>
      </c>
      <c r="L71" s="3">
        <v>39</v>
      </c>
      <c r="O71" s="3">
        <f t="shared" si="1"/>
        <v>39</v>
      </c>
      <c r="P71" s="3">
        <v>0.08</v>
      </c>
      <c r="Q71" t="b">
        <v>1</v>
      </c>
      <c r="R71" s="3" t="s">
        <v>51</v>
      </c>
      <c r="S71" s="3" t="s">
        <v>31</v>
      </c>
    </row>
    <row r="72" spans="1:19" s="3" customFormat="1" x14ac:dyDescent="0.3">
      <c r="A72" s="3" t="s">
        <v>7</v>
      </c>
      <c r="B72" s="3" t="s">
        <v>87</v>
      </c>
      <c r="C72" s="3">
        <v>2007</v>
      </c>
      <c r="E72" s="3" t="s">
        <v>4</v>
      </c>
      <c r="F72" s="3" t="s">
        <v>5</v>
      </c>
      <c r="G72" s="3">
        <v>0</v>
      </c>
      <c r="H72" s="3" t="s">
        <v>88</v>
      </c>
      <c r="I72" s="3" t="s">
        <v>44</v>
      </c>
      <c r="J72" s="3">
        <v>226</v>
      </c>
      <c r="K72" s="3" t="s">
        <v>45</v>
      </c>
      <c r="L72" s="3">
        <v>21</v>
      </c>
      <c r="O72" s="3">
        <f t="shared" si="1"/>
        <v>21</v>
      </c>
      <c r="P72" s="3">
        <v>0.13</v>
      </c>
      <c r="Q72" t="b">
        <v>1</v>
      </c>
      <c r="R72" s="3" t="s">
        <v>51</v>
      </c>
      <c r="S72" s="3" t="s">
        <v>31</v>
      </c>
    </row>
    <row r="73" spans="1:19" s="3" customFormat="1" x14ac:dyDescent="0.3">
      <c r="A73" s="3" t="s">
        <v>7</v>
      </c>
      <c r="B73" s="3" t="s">
        <v>87</v>
      </c>
      <c r="C73" s="3">
        <v>2007</v>
      </c>
      <c r="E73" s="3" t="s">
        <v>4</v>
      </c>
      <c r="F73" s="3" t="s">
        <v>5</v>
      </c>
      <c r="G73" s="3">
        <v>0</v>
      </c>
      <c r="H73" s="3" t="s">
        <v>88</v>
      </c>
      <c r="I73" s="3" t="s">
        <v>44</v>
      </c>
      <c r="J73" s="3">
        <v>226</v>
      </c>
      <c r="K73" s="3" t="s">
        <v>46</v>
      </c>
      <c r="L73" s="3">
        <v>16</v>
      </c>
      <c r="O73" s="3">
        <f t="shared" si="1"/>
        <v>16</v>
      </c>
      <c r="P73" s="3">
        <v>0.18</v>
      </c>
      <c r="Q73" t="b">
        <v>1</v>
      </c>
      <c r="R73" s="3" t="s">
        <v>51</v>
      </c>
      <c r="S73" s="3" t="s">
        <v>31</v>
      </c>
    </row>
    <row r="74" spans="1:19" s="3" customFormat="1" x14ac:dyDescent="0.3">
      <c r="A74" s="3" t="s">
        <v>7</v>
      </c>
      <c r="B74" s="3" t="s">
        <v>87</v>
      </c>
      <c r="C74" s="3">
        <v>2007</v>
      </c>
      <c r="E74" s="3" t="s">
        <v>4</v>
      </c>
      <c r="F74" s="3" t="s">
        <v>5</v>
      </c>
      <c r="G74" s="3">
        <v>0</v>
      </c>
      <c r="H74" s="3" t="s">
        <v>88</v>
      </c>
      <c r="I74" s="3" t="s">
        <v>44</v>
      </c>
      <c r="J74" s="3">
        <v>226</v>
      </c>
      <c r="K74" s="3" t="s">
        <v>47</v>
      </c>
      <c r="L74" s="3">
        <v>12</v>
      </c>
      <c r="O74" s="3">
        <f t="shared" si="1"/>
        <v>12</v>
      </c>
      <c r="P74" s="3">
        <v>0.23</v>
      </c>
      <c r="Q74" t="b">
        <v>1</v>
      </c>
      <c r="R74" s="3" t="s">
        <v>51</v>
      </c>
      <c r="S74" s="3" t="s">
        <v>31</v>
      </c>
    </row>
    <row r="75" spans="1:19" s="3" customFormat="1" x14ac:dyDescent="0.3">
      <c r="A75" s="3" t="s">
        <v>7</v>
      </c>
      <c r="B75" s="3" t="s">
        <v>87</v>
      </c>
      <c r="C75" s="3">
        <v>2007</v>
      </c>
      <c r="E75" s="3" t="s">
        <v>4</v>
      </c>
      <c r="F75" s="3" t="s">
        <v>5</v>
      </c>
      <c r="G75" s="3">
        <v>0</v>
      </c>
      <c r="H75" s="3" t="s">
        <v>88</v>
      </c>
      <c r="I75" s="3" t="s">
        <v>44</v>
      </c>
      <c r="J75" s="3">
        <v>226</v>
      </c>
      <c r="K75" s="3" t="s">
        <v>48</v>
      </c>
      <c r="L75" s="3">
        <v>6</v>
      </c>
      <c r="O75" s="3">
        <f t="shared" si="1"/>
        <v>6</v>
      </c>
      <c r="P75" s="3">
        <v>0.4</v>
      </c>
      <c r="Q75" t="b">
        <v>1</v>
      </c>
      <c r="R75" s="3" t="s">
        <v>51</v>
      </c>
      <c r="S75" s="3" t="s">
        <v>31</v>
      </c>
    </row>
    <row r="76" spans="1:19" s="3" customFormat="1" x14ac:dyDescent="0.3">
      <c r="A76" s="3" t="s">
        <v>7</v>
      </c>
      <c r="B76" s="3" t="s">
        <v>87</v>
      </c>
      <c r="C76" s="3">
        <v>2007</v>
      </c>
      <c r="E76" s="3" t="s">
        <v>4</v>
      </c>
      <c r="F76" s="3" t="s">
        <v>5</v>
      </c>
      <c r="G76" s="3">
        <v>0</v>
      </c>
      <c r="H76" s="3" t="s">
        <v>88</v>
      </c>
      <c r="I76" s="3" t="s">
        <v>49</v>
      </c>
      <c r="J76" s="3">
        <v>168</v>
      </c>
      <c r="K76" s="3">
        <v>0</v>
      </c>
      <c r="L76" s="3">
        <v>26</v>
      </c>
      <c r="O76" s="3">
        <f t="shared" si="1"/>
        <v>26</v>
      </c>
      <c r="P76" s="3">
        <v>0</v>
      </c>
      <c r="Q76" t="b">
        <v>1</v>
      </c>
      <c r="R76" s="3" t="s">
        <v>51</v>
      </c>
      <c r="S76" s="3" t="s">
        <v>31</v>
      </c>
    </row>
    <row r="77" spans="1:19" s="3" customFormat="1" x14ac:dyDescent="0.3">
      <c r="A77" s="3" t="s">
        <v>7</v>
      </c>
      <c r="B77" s="3" t="s">
        <v>87</v>
      </c>
      <c r="C77" s="3">
        <v>2007</v>
      </c>
      <c r="E77" s="3" t="s">
        <v>4</v>
      </c>
      <c r="F77" s="3" t="s">
        <v>5</v>
      </c>
      <c r="G77" s="3">
        <v>0</v>
      </c>
      <c r="H77" s="3" t="s">
        <v>88</v>
      </c>
      <c r="I77" s="3" t="s">
        <v>49</v>
      </c>
      <c r="J77" s="3">
        <v>168</v>
      </c>
      <c r="K77" s="3" t="s">
        <v>34</v>
      </c>
      <c r="L77" s="3">
        <v>52</v>
      </c>
      <c r="O77" s="3">
        <f t="shared" si="1"/>
        <v>52</v>
      </c>
      <c r="P77" s="3">
        <v>2.5000000000000001E-3</v>
      </c>
      <c r="Q77" t="b">
        <v>1</v>
      </c>
      <c r="R77" s="3" t="s">
        <v>51</v>
      </c>
      <c r="S77" s="3" t="s">
        <v>31</v>
      </c>
    </row>
    <row r="78" spans="1:19" s="3" customFormat="1" x14ac:dyDescent="0.3">
      <c r="A78" s="3" t="s">
        <v>7</v>
      </c>
      <c r="B78" s="3" t="s">
        <v>87</v>
      </c>
      <c r="C78" s="3">
        <v>2007</v>
      </c>
      <c r="E78" s="3" t="s">
        <v>4</v>
      </c>
      <c r="F78" s="3" t="s">
        <v>5</v>
      </c>
      <c r="G78" s="3">
        <v>0</v>
      </c>
      <c r="H78" s="3" t="s">
        <v>88</v>
      </c>
      <c r="I78" s="3" t="s">
        <v>49</v>
      </c>
      <c r="J78" s="3">
        <v>168</v>
      </c>
      <c r="K78" s="3" t="s">
        <v>41</v>
      </c>
      <c r="L78" s="3">
        <v>36</v>
      </c>
      <c r="O78" s="3">
        <f t="shared" si="1"/>
        <v>36</v>
      </c>
      <c r="P78" s="3">
        <v>7.4999999999999997E-3</v>
      </c>
      <c r="Q78" t="b">
        <v>1</v>
      </c>
      <c r="R78" s="3" t="s">
        <v>51</v>
      </c>
      <c r="S78" s="3" t="s">
        <v>31</v>
      </c>
    </row>
    <row r="79" spans="1:19" s="3" customFormat="1" x14ac:dyDescent="0.3">
      <c r="A79" s="3" t="s">
        <v>7</v>
      </c>
      <c r="B79" s="3" t="s">
        <v>87</v>
      </c>
      <c r="C79" s="3">
        <v>2007</v>
      </c>
      <c r="E79" s="3" t="s">
        <v>4</v>
      </c>
      <c r="F79" s="3" t="s">
        <v>5</v>
      </c>
      <c r="G79" s="3">
        <v>0</v>
      </c>
      <c r="H79" s="3" t="s">
        <v>88</v>
      </c>
      <c r="I79" s="3" t="s">
        <v>49</v>
      </c>
      <c r="J79" s="3">
        <v>168</v>
      </c>
      <c r="K79" s="3" t="s">
        <v>36</v>
      </c>
      <c r="L79" s="3">
        <v>32</v>
      </c>
      <c r="O79" s="3">
        <f t="shared" si="1"/>
        <v>32</v>
      </c>
      <c r="P79" s="3">
        <v>0.02</v>
      </c>
      <c r="Q79" t="b">
        <v>1</v>
      </c>
      <c r="R79" s="3" t="s">
        <v>51</v>
      </c>
      <c r="S79" s="3" t="s">
        <v>31</v>
      </c>
    </row>
    <row r="80" spans="1:19" s="3" customFormat="1" x14ac:dyDescent="0.3">
      <c r="A80" s="3" t="s">
        <v>7</v>
      </c>
      <c r="B80" s="3" t="s">
        <v>87</v>
      </c>
      <c r="C80" s="3">
        <v>2007</v>
      </c>
      <c r="E80" s="3" t="s">
        <v>4</v>
      </c>
      <c r="F80" s="3" t="s">
        <v>5</v>
      </c>
      <c r="G80" s="3">
        <v>0</v>
      </c>
      <c r="H80" s="3" t="s">
        <v>88</v>
      </c>
      <c r="I80" s="3" t="s">
        <v>49</v>
      </c>
      <c r="J80" s="3">
        <v>168</v>
      </c>
      <c r="K80" s="3" t="s">
        <v>37</v>
      </c>
      <c r="L80" s="3">
        <v>10</v>
      </c>
      <c r="O80" s="3">
        <f t="shared" si="1"/>
        <v>10</v>
      </c>
      <c r="P80" s="3">
        <v>4.4999999999999998E-2</v>
      </c>
      <c r="Q80" t="b">
        <v>1</v>
      </c>
      <c r="R80" s="3" t="s">
        <v>51</v>
      </c>
      <c r="S80" s="3" t="s">
        <v>31</v>
      </c>
    </row>
    <row r="81" spans="1:22" s="3" customFormat="1" x14ac:dyDescent="0.3">
      <c r="A81" s="3" t="s">
        <v>7</v>
      </c>
      <c r="B81" s="3" t="s">
        <v>87</v>
      </c>
      <c r="C81" s="3">
        <v>2007</v>
      </c>
      <c r="E81" s="3" t="s">
        <v>4</v>
      </c>
      <c r="F81" s="3" t="s">
        <v>5</v>
      </c>
      <c r="G81" s="3">
        <v>0</v>
      </c>
      <c r="H81" s="3" t="s">
        <v>88</v>
      </c>
      <c r="I81" s="3" t="s">
        <v>49</v>
      </c>
      <c r="J81" s="3">
        <v>168</v>
      </c>
      <c r="K81" s="3" t="s">
        <v>38</v>
      </c>
      <c r="L81" s="3">
        <v>9</v>
      </c>
      <c r="O81" s="3">
        <f t="shared" si="1"/>
        <v>9</v>
      </c>
      <c r="P81" s="3">
        <v>0.08</v>
      </c>
      <c r="Q81" t="b">
        <v>1</v>
      </c>
      <c r="R81" s="3" t="s">
        <v>51</v>
      </c>
      <c r="S81" s="3" t="s">
        <v>31</v>
      </c>
    </row>
    <row r="82" spans="1:22" s="3" customFormat="1" x14ac:dyDescent="0.3">
      <c r="A82" s="3" t="s">
        <v>7</v>
      </c>
      <c r="B82" s="3" t="s">
        <v>87</v>
      </c>
      <c r="C82" s="3">
        <v>2007</v>
      </c>
      <c r="E82" s="3" t="s">
        <v>4</v>
      </c>
      <c r="F82" s="3" t="s">
        <v>5</v>
      </c>
      <c r="G82" s="3">
        <v>0</v>
      </c>
      <c r="H82" s="3" t="s">
        <v>88</v>
      </c>
      <c r="I82" s="3" t="s">
        <v>49</v>
      </c>
      <c r="J82" s="3">
        <v>168</v>
      </c>
      <c r="K82" s="3" t="s">
        <v>45</v>
      </c>
      <c r="L82" s="3">
        <v>2</v>
      </c>
      <c r="O82" s="3">
        <f t="shared" si="1"/>
        <v>2</v>
      </c>
      <c r="P82" s="3">
        <v>0.13</v>
      </c>
      <c r="Q82" t="b">
        <v>1</v>
      </c>
      <c r="R82" s="3" t="s">
        <v>51</v>
      </c>
      <c r="S82" s="3" t="s">
        <v>31</v>
      </c>
    </row>
    <row r="83" spans="1:22" s="3" customFormat="1" x14ac:dyDescent="0.3">
      <c r="A83" s="3" t="s">
        <v>7</v>
      </c>
      <c r="B83" s="3" t="s">
        <v>87</v>
      </c>
      <c r="C83" s="3">
        <v>2007</v>
      </c>
      <c r="E83" s="3" t="s">
        <v>4</v>
      </c>
      <c r="F83" s="3" t="s">
        <v>5</v>
      </c>
      <c r="G83" s="3">
        <v>0</v>
      </c>
      <c r="H83" s="3" t="s">
        <v>88</v>
      </c>
      <c r="I83" s="3" t="s">
        <v>49</v>
      </c>
      <c r="J83" s="3">
        <v>168</v>
      </c>
      <c r="K83" s="3" t="s">
        <v>46</v>
      </c>
      <c r="L83" s="3">
        <v>1</v>
      </c>
      <c r="O83" s="3">
        <f t="shared" si="1"/>
        <v>1</v>
      </c>
      <c r="P83" s="3">
        <v>0.18</v>
      </c>
      <c r="Q83" t="b">
        <v>1</v>
      </c>
      <c r="R83" s="3" t="s">
        <v>51</v>
      </c>
      <c r="S83" s="3" t="s">
        <v>31</v>
      </c>
    </row>
    <row r="84" spans="1:22" s="3" customFormat="1" x14ac:dyDescent="0.3">
      <c r="A84" s="3" t="s">
        <v>7</v>
      </c>
      <c r="B84" s="3" t="s">
        <v>87</v>
      </c>
      <c r="C84" s="3">
        <v>2007</v>
      </c>
      <c r="E84" s="3" t="s">
        <v>4</v>
      </c>
      <c r="F84" s="3" t="s">
        <v>5</v>
      </c>
      <c r="G84" s="3">
        <v>0</v>
      </c>
      <c r="H84" s="3" t="s">
        <v>88</v>
      </c>
      <c r="I84" s="3" t="s">
        <v>49</v>
      </c>
      <c r="J84" s="3">
        <v>168</v>
      </c>
      <c r="K84" s="3" t="s">
        <v>47</v>
      </c>
      <c r="L84" s="3">
        <v>0</v>
      </c>
      <c r="O84" s="3">
        <f t="shared" si="1"/>
        <v>0</v>
      </c>
      <c r="P84" s="3">
        <v>0.23</v>
      </c>
      <c r="Q84" t="b">
        <v>1</v>
      </c>
      <c r="R84" s="3" t="s">
        <v>51</v>
      </c>
      <c r="S84" s="3" t="s">
        <v>31</v>
      </c>
    </row>
    <row r="85" spans="1:22" s="3" customFormat="1" x14ac:dyDescent="0.3">
      <c r="A85" s="3" t="s">
        <v>7</v>
      </c>
      <c r="B85" s="3" t="s">
        <v>87</v>
      </c>
      <c r="C85" s="3">
        <v>2007</v>
      </c>
      <c r="E85" s="3" t="s">
        <v>4</v>
      </c>
      <c r="F85" s="3" t="s">
        <v>5</v>
      </c>
      <c r="G85" s="3">
        <v>0</v>
      </c>
      <c r="H85" s="3" t="s">
        <v>88</v>
      </c>
      <c r="I85" s="3" t="s">
        <v>49</v>
      </c>
      <c r="J85" s="3">
        <v>168</v>
      </c>
      <c r="K85" s="3" t="s">
        <v>48</v>
      </c>
      <c r="L85" s="3">
        <v>0</v>
      </c>
      <c r="O85" s="3">
        <f t="shared" si="1"/>
        <v>0</v>
      </c>
      <c r="P85" s="3">
        <v>0.4</v>
      </c>
      <c r="Q85" t="b">
        <v>1</v>
      </c>
      <c r="R85" s="3" t="s">
        <v>51</v>
      </c>
      <c r="S85" s="3" t="s">
        <v>31</v>
      </c>
    </row>
    <row r="86" spans="1:22" x14ac:dyDescent="0.3">
      <c r="A86" t="s">
        <v>8</v>
      </c>
      <c r="B86" t="s">
        <v>33</v>
      </c>
      <c r="C86">
        <v>2008</v>
      </c>
      <c r="E86" t="s">
        <v>4</v>
      </c>
      <c r="F86" t="s">
        <v>5</v>
      </c>
      <c r="G86">
        <v>0</v>
      </c>
      <c r="H86" t="s">
        <v>55</v>
      </c>
      <c r="I86" t="s">
        <v>40</v>
      </c>
      <c r="J86">
        <v>178</v>
      </c>
      <c r="K86">
        <v>0</v>
      </c>
      <c r="L86" s="2">
        <v>73</v>
      </c>
      <c r="O86" s="3">
        <f t="shared" si="1"/>
        <v>73</v>
      </c>
      <c r="P86">
        <v>0</v>
      </c>
      <c r="Q86" t="b">
        <v>1</v>
      </c>
      <c r="R86" t="s">
        <v>51</v>
      </c>
      <c r="S86" t="s">
        <v>31</v>
      </c>
      <c r="T86" t="s">
        <v>50</v>
      </c>
      <c r="V86" t="s">
        <v>162</v>
      </c>
    </row>
    <row r="87" spans="1:22" x14ac:dyDescent="0.3">
      <c r="A87" t="s">
        <v>8</v>
      </c>
      <c r="B87" t="s">
        <v>33</v>
      </c>
      <c r="C87">
        <v>2008</v>
      </c>
      <c r="E87" t="s">
        <v>4</v>
      </c>
      <c r="F87" t="s">
        <v>5</v>
      </c>
      <c r="G87">
        <v>0</v>
      </c>
      <c r="H87" t="s">
        <v>55</v>
      </c>
      <c r="I87" t="s">
        <v>40</v>
      </c>
      <c r="J87">
        <v>178</v>
      </c>
      <c r="K87" t="s">
        <v>34</v>
      </c>
      <c r="L87" s="2">
        <v>73</v>
      </c>
      <c r="O87" s="3">
        <f t="shared" si="1"/>
        <v>73</v>
      </c>
      <c r="P87">
        <v>2.5000000000000001E-3</v>
      </c>
      <c r="Q87" t="b">
        <v>1</v>
      </c>
      <c r="R87" t="s">
        <v>51</v>
      </c>
      <c r="S87" t="s">
        <v>31</v>
      </c>
    </row>
    <row r="88" spans="1:22" x14ac:dyDescent="0.3">
      <c r="A88" t="s">
        <v>8</v>
      </c>
      <c r="B88" t="s">
        <v>33</v>
      </c>
      <c r="C88">
        <v>2008</v>
      </c>
      <c r="E88" t="s">
        <v>4</v>
      </c>
      <c r="F88" t="s">
        <v>5</v>
      </c>
      <c r="G88">
        <v>0</v>
      </c>
      <c r="H88" t="s">
        <v>55</v>
      </c>
      <c r="I88" t="s">
        <v>40</v>
      </c>
      <c r="J88">
        <v>178</v>
      </c>
      <c r="K88" t="s">
        <v>35</v>
      </c>
      <c r="L88" s="2">
        <v>19</v>
      </c>
      <c r="O88" s="3">
        <f t="shared" si="1"/>
        <v>19</v>
      </c>
      <c r="P88">
        <v>7.4999999999999997E-3</v>
      </c>
      <c r="Q88" t="b">
        <v>1</v>
      </c>
      <c r="R88" t="s">
        <v>51</v>
      </c>
      <c r="S88" t="s">
        <v>31</v>
      </c>
    </row>
    <row r="89" spans="1:22" x14ac:dyDescent="0.3">
      <c r="A89" t="s">
        <v>8</v>
      </c>
      <c r="B89" t="s">
        <v>33</v>
      </c>
      <c r="C89">
        <v>2008</v>
      </c>
      <c r="E89" t="s">
        <v>4</v>
      </c>
      <c r="F89" t="s">
        <v>5</v>
      </c>
      <c r="G89">
        <v>0</v>
      </c>
      <c r="H89" t="s">
        <v>55</v>
      </c>
      <c r="I89" t="s">
        <v>40</v>
      </c>
      <c r="J89">
        <v>178</v>
      </c>
      <c r="K89" s="6" t="s">
        <v>36</v>
      </c>
      <c r="L89" s="2">
        <v>9</v>
      </c>
      <c r="M89" s="6"/>
      <c r="O89" s="3">
        <f t="shared" si="1"/>
        <v>9</v>
      </c>
      <c r="P89">
        <v>0.02</v>
      </c>
      <c r="Q89" t="b">
        <v>1</v>
      </c>
      <c r="R89" t="s">
        <v>51</v>
      </c>
      <c r="S89" t="s">
        <v>31</v>
      </c>
    </row>
    <row r="90" spans="1:22" x14ac:dyDescent="0.3">
      <c r="A90" t="s">
        <v>8</v>
      </c>
      <c r="B90" t="s">
        <v>33</v>
      </c>
      <c r="C90">
        <v>2008</v>
      </c>
      <c r="E90" t="s">
        <v>4</v>
      </c>
      <c r="F90" t="s">
        <v>5</v>
      </c>
      <c r="G90">
        <v>0</v>
      </c>
      <c r="H90" t="s">
        <v>55</v>
      </c>
      <c r="I90" t="s">
        <v>40</v>
      </c>
      <c r="J90">
        <v>178</v>
      </c>
      <c r="K90" t="s">
        <v>37</v>
      </c>
      <c r="L90" s="2">
        <v>3</v>
      </c>
      <c r="O90" s="3">
        <f t="shared" si="1"/>
        <v>3</v>
      </c>
      <c r="P90">
        <v>4.4999999999999998E-2</v>
      </c>
      <c r="Q90" t="b">
        <v>1</v>
      </c>
      <c r="R90" t="s">
        <v>51</v>
      </c>
      <c r="S90" t="s">
        <v>31</v>
      </c>
    </row>
    <row r="91" spans="1:22" x14ac:dyDescent="0.3">
      <c r="A91" t="s">
        <v>8</v>
      </c>
      <c r="B91" t="s">
        <v>33</v>
      </c>
      <c r="C91">
        <v>2008</v>
      </c>
      <c r="E91" t="s">
        <v>4</v>
      </c>
      <c r="F91" t="s">
        <v>5</v>
      </c>
      <c r="G91">
        <v>0</v>
      </c>
      <c r="H91" t="s">
        <v>55</v>
      </c>
      <c r="I91" t="s">
        <v>40</v>
      </c>
      <c r="J91">
        <v>178</v>
      </c>
      <c r="K91" t="s">
        <v>38</v>
      </c>
      <c r="L91" s="2">
        <v>1</v>
      </c>
      <c r="O91" s="3">
        <f t="shared" si="1"/>
        <v>1</v>
      </c>
      <c r="P91">
        <v>0.08</v>
      </c>
      <c r="Q91" t="b">
        <v>1</v>
      </c>
      <c r="R91" t="s">
        <v>51</v>
      </c>
      <c r="S91" t="s">
        <v>31</v>
      </c>
    </row>
    <row r="92" spans="1:22" x14ac:dyDescent="0.3">
      <c r="A92" t="s">
        <v>8</v>
      </c>
      <c r="B92" t="s">
        <v>33</v>
      </c>
      <c r="C92">
        <v>2008</v>
      </c>
      <c r="E92" t="s">
        <v>4</v>
      </c>
      <c r="F92" t="s">
        <v>5</v>
      </c>
      <c r="G92">
        <v>0</v>
      </c>
      <c r="H92" t="s">
        <v>55</v>
      </c>
      <c r="I92" t="s">
        <v>40</v>
      </c>
      <c r="J92">
        <v>178</v>
      </c>
      <c r="K92" t="s">
        <v>45</v>
      </c>
      <c r="L92" s="2">
        <v>0</v>
      </c>
      <c r="O92" s="3">
        <f t="shared" si="1"/>
        <v>0</v>
      </c>
      <c r="P92">
        <v>0.13</v>
      </c>
      <c r="Q92" t="b">
        <v>1</v>
      </c>
      <c r="R92" t="s">
        <v>51</v>
      </c>
      <c r="S92" t="s">
        <v>31</v>
      </c>
    </row>
    <row r="93" spans="1:22" x14ac:dyDescent="0.3">
      <c r="A93" t="s">
        <v>8</v>
      </c>
      <c r="B93" t="s">
        <v>33</v>
      </c>
      <c r="C93">
        <v>2008</v>
      </c>
      <c r="E93" t="s">
        <v>4</v>
      </c>
      <c r="F93" t="s">
        <v>5</v>
      </c>
      <c r="G93">
        <v>0</v>
      </c>
      <c r="H93" t="s">
        <v>55</v>
      </c>
      <c r="I93" t="s">
        <v>40</v>
      </c>
      <c r="J93">
        <v>178</v>
      </c>
      <c r="K93" t="s">
        <v>46</v>
      </c>
      <c r="L93" s="2">
        <v>0</v>
      </c>
      <c r="O93" s="3">
        <f t="shared" si="1"/>
        <v>0</v>
      </c>
      <c r="P93">
        <v>0.18</v>
      </c>
      <c r="Q93" t="b">
        <v>1</v>
      </c>
      <c r="R93" t="s">
        <v>51</v>
      </c>
      <c r="S93" t="s">
        <v>31</v>
      </c>
    </row>
    <row r="94" spans="1:22" x14ac:dyDescent="0.3">
      <c r="A94" t="s">
        <v>8</v>
      </c>
      <c r="B94" t="s">
        <v>33</v>
      </c>
      <c r="C94">
        <v>2008</v>
      </c>
      <c r="E94" t="s">
        <v>4</v>
      </c>
      <c r="F94" t="s">
        <v>5</v>
      </c>
      <c r="G94">
        <v>0</v>
      </c>
      <c r="H94" t="s">
        <v>55</v>
      </c>
      <c r="I94" t="s">
        <v>40</v>
      </c>
      <c r="J94">
        <v>178</v>
      </c>
      <c r="K94" t="s">
        <v>47</v>
      </c>
      <c r="L94" s="2">
        <v>0</v>
      </c>
      <c r="O94" s="3">
        <f t="shared" si="1"/>
        <v>0</v>
      </c>
      <c r="P94">
        <v>0.23</v>
      </c>
      <c r="Q94" t="b">
        <v>1</v>
      </c>
      <c r="R94" t="s">
        <v>51</v>
      </c>
      <c r="S94" t="s">
        <v>31</v>
      </c>
    </row>
    <row r="95" spans="1:22" x14ac:dyDescent="0.3">
      <c r="A95" t="s">
        <v>8</v>
      </c>
      <c r="B95" t="s">
        <v>33</v>
      </c>
      <c r="C95">
        <v>2008</v>
      </c>
      <c r="E95" t="s">
        <v>4</v>
      </c>
      <c r="F95" t="s">
        <v>5</v>
      </c>
      <c r="G95">
        <v>0</v>
      </c>
      <c r="H95" t="s">
        <v>55</v>
      </c>
      <c r="I95" t="s">
        <v>40</v>
      </c>
      <c r="J95">
        <v>178</v>
      </c>
      <c r="K95" t="s">
        <v>48</v>
      </c>
      <c r="L95" s="2">
        <v>0</v>
      </c>
      <c r="O95" s="3">
        <f t="shared" si="1"/>
        <v>0</v>
      </c>
      <c r="P95">
        <v>0.4</v>
      </c>
      <c r="Q95" t="b">
        <v>1</v>
      </c>
      <c r="R95" t="s">
        <v>51</v>
      </c>
      <c r="S95" t="s">
        <v>31</v>
      </c>
    </row>
    <row r="96" spans="1:22" x14ac:dyDescent="0.3">
      <c r="A96" t="s">
        <v>8</v>
      </c>
      <c r="B96" t="s">
        <v>33</v>
      </c>
      <c r="C96">
        <v>2008</v>
      </c>
      <c r="E96" t="s">
        <v>4</v>
      </c>
      <c r="F96" t="s">
        <v>5</v>
      </c>
      <c r="G96">
        <v>0</v>
      </c>
      <c r="H96" t="s">
        <v>55</v>
      </c>
      <c r="I96" t="s">
        <v>43</v>
      </c>
      <c r="J96">
        <v>23</v>
      </c>
      <c r="K96">
        <v>0</v>
      </c>
      <c r="L96" s="2">
        <v>11</v>
      </c>
      <c r="O96" s="3">
        <f t="shared" si="1"/>
        <v>11</v>
      </c>
      <c r="P96">
        <v>0</v>
      </c>
      <c r="Q96" t="b">
        <v>1</v>
      </c>
      <c r="R96" t="s">
        <v>51</v>
      </c>
      <c r="S96" t="s">
        <v>31</v>
      </c>
    </row>
    <row r="97" spans="1:19" x14ac:dyDescent="0.3">
      <c r="A97" t="s">
        <v>8</v>
      </c>
      <c r="B97" t="s">
        <v>33</v>
      </c>
      <c r="C97">
        <v>2008</v>
      </c>
      <c r="E97" t="s">
        <v>4</v>
      </c>
      <c r="F97" t="s">
        <v>5</v>
      </c>
      <c r="G97">
        <v>0</v>
      </c>
      <c r="H97" t="s">
        <v>55</v>
      </c>
      <c r="I97" t="s">
        <v>43</v>
      </c>
      <c r="J97">
        <v>23</v>
      </c>
      <c r="K97" s="2" t="s">
        <v>34</v>
      </c>
      <c r="L97" s="2">
        <v>10</v>
      </c>
      <c r="M97" s="2"/>
      <c r="O97" s="3">
        <f t="shared" si="1"/>
        <v>10</v>
      </c>
      <c r="P97">
        <v>2.5000000000000001E-3</v>
      </c>
      <c r="Q97" t="b">
        <v>1</v>
      </c>
      <c r="R97" t="s">
        <v>51</v>
      </c>
      <c r="S97" t="s">
        <v>31</v>
      </c>
    </row>
    <row r="98" spans="1:19" x14ac:dyDescent="0.3">
      <c r="A98" t="s">
        <v>8</v>
      </c>
      <c r="B98" t="s">
        <v>33</v>
      </c>
      <c r="C98">
        <v>2008</v>
      </c>
      <c r="E98" t="s">
        <v>4</v>
      </c>
      <c r="F98" t="s">
        <v>5</v>
      </c>
      <c r="G98">
        <v>0</v>
      </c>
      <c r="H98" t="s">
        <v>55</v>
      </c>
      <c r="I98" t="s">
        <v>43</v>
      </c>
      <c r="J98">
        <v>23</v>
      </c>
      <c r="K98" s="2" t="s">
        <v>35</v>
      </c>
      <c r="L98" s="2">
        <v>1</v>
      </c>
      <c r="M98" s="2"/>
      <c r="O98" s="3">
        <f t="shared" si="1"/>
        <v>1</v>
      </c>
      <c r="P98">
        <v>7.4999999999999997E-3</v>
      </c>
      <c r="Q98" t="b">
        <v>1</v>
      </c>
      <c r="R98" t="s">
        <v>51</v>
      </c>
      <c r="S98" t="s">
        <v>31</v>
      </c>
    </row>
    <row r="99" spans="1:19" x14ac:dyDescent="0.3">
      <c r="A99" t="s">
        <v>8</v>
      </c>
      <c r="B99" t="s">
        <v>33</v>
      </c>
      <c r="C99">
        <v>2008</v>
      </c>
      <c r="E99" t="s">
        <v>4</v>
      </c>
      <c r="F99" t="s">
        <v>5</v>
      </c>
      <c r="G99">
        <v>0</v>
      </c>
      <c r="H99" t="s">
        <v>55</v>
      </c>
      <c r="I99" t="s">
        <v>43</v>
      </c>
      <c r="J99">
        <v>23</v>
      </c>
      <c r="K99" s="2" t="s">
        <v>36</v>
      </c>
      <c r="L99" s="2">
        <v>1</v>
      </c>
      <c r="M99" s="2"/>
      <c r="O99" s="3">
        <f t="shared" si="1"/>
        <v>1</v>
      </c>
      <c r="P99">
        <v>0.02</v>
      </c>
      <c r="Q99" t="b">
        <v>1</v>
      </c>
      <c r="R99" t="s">
        <v>51</v>
      </c>
      <c r="S99" t="s">
        <v>31</v>
      </c>
    </row>
    <row r="100" spans="1:19" x14ac:dyDescent="0.3">
      <c r="A100" t="s">
        <v>8</v>
      </c>
      <c r="B100" t="s">
        <v>33</v>
      </c>
      <c r="C100">
        <v>2008</v>
      </c>
      <c r="E100" t="s">
        <v>4</v>
      </c>
      <c r="F100" t="s">
        <v>5</v>
      </c>
      <c r="G100">
        <v>0</v>
      </c>
      <c r="H100" t="s">
        <v>55</v>
      </c>
      <c r="I100" t="s">
        <v>43</v>
      </c>
      <c r="J100">
        <v>23</v>
      </c>
      <c r="K100" s="2" t="s">
        <v>37</v>
      </c>
      <c r="L100" s="2">
        <v>0</v>
      </c>
      <c r="M100" s="2"/>
      <c r="O100" s="3">
        <f t="shared" si="1"/>
        <v>0</v>
      </c>
      <c r="P100">
        <v>4.4999999999999998E-2</v>
      </c>
      <c r="Q100" t="b">
        <v>1</v>
      </c>
      <c r="R100" t="s">
        <v>51</v>
      </c>
      <c r="S100" t="s">
        <v>31</v>
      </c>
    </row>
    <row r="101" spans="1:19" x14ac:dyDescent="0.3">
      <c r="A101" t="s">
        <v>8</v>
      </c>
      <c r="B101" t="s">
        <v>33</v>
      </c>
      <c r="C101">
        <v>2008</v>
      </c>
      <c r="E101" t="s">
        <v>4</v>
      </c>
      <c r="F101" t="s">
        <v>5</v>
      </c>
      <c r="G101">
        <v>0</v>
      </c>
      <c r="H101" t="s">
        <v>55</v>
      </c>
      <c r="I101" t="s">
        <v>43</v>
      </c>
      <c r="J101">
        <v>23</v>
      </c>
      <c r="K101" s="2" t="s">
        <v>38</v>
      </c>
      <c r="L101" s="2">
        <v>0</v>
      </c>
      <c r="M101" s="2"/>
      <c r="O101" s="3">
        <f t="shared" si="1"/>
        <v>0</v>
      </c>
      <c r="P101">
        <v>0.08</v>
      </c>
      <c r="Q101" t="b">
        <v>1</v>
      </c>
      <c r="R101" t="s">
        <v>51</v>
      </c>
      <c r="S101" t="s">
        <v>31</v>
      </c>
    </row>
    <row r="102" spans="1:19" x14ac:dyDescent="0.3">
      <c r="A102" t="s">
        <v>8</v>
      </c>
      <c r="B102" t="s">
        <v>33</v>
      </c>
      <c r="C102">
        <v>2008</v>
      </c>
      <c r="E102" t="s">
        <v>4</v>
      </c>
      <c r="F102" t="s">
        <v>5</v>
      </c>
      <c r="G102">
        <v>0</v>
      </c>
      <c r="H102" t="s">
        <v>55</v>
      </c>
      <c r="I102" t="s">
        <v>43</v>
      </c>
      <c r="J102">
        <v>23</v>
      </c>
      <c r="K102" s="2" t="s">
        <v>45</v>
      </c>
      <c r="L102" s="2">
        <v>0</v>
      </c>
      <c r="M102" s="2"/>
      <c r="O102" s="3">
        <f t="shared" si="1"/>
        <v>0</v>
      </c>
      <c r="P102">
        <v>0.13</v>
      </c>
      <c r="Q102" t="b">
        <v>1</v>
      </c>
      <c r="R102" t="s">
        <v>51</v>
      </c>
      <c r="S102" t="s">
        <v>31</v>
      </c>
    </row>
    <row r="103" spans="1:19" x14ac:dyDescent="0.3">
      <c r="A103" t="s">
        <v>8</v>
      </c>
      <c r="B103" t="s">
        <v>33</v>
      </c>
      <c r="C103">
        <v>2008</v>
      </c>
      <c r="E103" t="s">
        <v>4</v>
      </c>
      <c r="F103" t="s">
        <v>5</v>
      </c>
      <c r="G103">
        <v>0</v>
      </c>
      <c r="H103" t="s">
        <v>55</v>
      </c>
      <c r="I103" t="s">
        <v>43</v>
      </c>
      <c r="J103">
        <v>23</v>
      </c>
      <c r="K103" s="2" t="s">
        <v>46</v>
      </c>
      <c r="L103" s="2">
        <v>0</v>
      </c>
      <c r="M103" s="2"/>
      <c r="O103" s="3">
        <f t="shared" si="1"/>
        <v>0</v>
      </c>
      <c r="P103">
        <v>0.18</v>
      </c>
      <c r="Q103" t="b">
        <v>1</v>
      </c>
      <c r="R103" t="s">
        <v>51</v>
      </c>
      <c r="S103" t="s">
        <v>31</v>
      </c>
    </row>
    <row r="104" spans="1:19" x14ac:dyDescent="0.3">
      <c r="A104" t="s">
        <v>8</v>
      </c>
      <c r="B104" t="s">
        <v>33</v>
      </c>
      <c r="C104">
        <v>2008</v>
      </c>
      <c r="E104" t="s">
        <v>4</v>
      </c>
      <c r="F104" t="s">
        <v>5</v>
      </c>
      <c r="G104">
        <v>0</v>
      </c>
      <c r="H104" t="s">
        <v>55</v>
      </c>
      <c r="I104" t="s">
        <v>43</v>
      </c>
      <c r="J104">
        <v>23</v>
      </c>
      <c r="K104" s="2" t="s">
        <v>47</v>
      </c>
      <c r="L104" s="2">
        <v>0</v>
      </c>
      <c r="M104" s="2"/>
      <c r="O104" s="3">
        <f t="shared" si="1"/>
        <v>0</v>
      </c>
      <c r="P104">
        <v>0.23</v>
      </c>
      <c r="Q104" t="b">
        <v>1</v>
      </c>
      <c r="R104" t="s">
        <v>51</v>
      </c>
      <c r="S104" t="s">
        <v>31</v>
      </c>
    </row>
    <row r="105" spans="1:19" x14ac:dyDescent="0.3">
      <c r="A105" t="s">
        <v>8</v>
      </c>
      <c r="B105" t="s">
        <v>33</v>
      </c>
      <c r="C105">
        <v>2008</v>
      </c>
      <c r="E105" t="s">
        <v>4</v>
      </c>
      <c r="F105" t="s">
        <v>5</v>
      </c>
      <c r="G105">
        <v>0</v>
      </c>
      <c r="H105" t="s">
        <v>55</v>
      </c>
      <c r="I105" t="s">
        <v>43</v>
      </c>
      <c r="J105">
        <v>23</v>
      </c>
      <c r="K105" s="2" t="s">
        <v>48</v>
      </c>
      <c r="L105" s="2">
        <v>0</v>
      </c>
      <c r="M105" s="2"/>
      <c r="O105" s="3">
        <f t="shared" si="1"/>
        <v>0</v>
      </c>
      <c r="P105">
        <v>0.4</v>
      </c>
      <c r="Q105" t="b">
        <v>1</v>
      </c>
      <c r="R105" t="s">
        <v>51</v>
      </c>
      <c r="S105" t="s">
        <v>31</v>
      </c>
    </row>
    <row r="106" spans="1:19" x14ac:dyDescent="0.3">
      <c r="A106" t="s">
        <v>8</v>
      </c>
      <c r="B106" t="s">
        <v>33</v>
      </c>
      <c r="C106">
        <v>2008</v>
      </c>
      <c r="E106" t="s">
        <v>4</v>
      </c>
      <c r="F106" t="s">
        <v>5</v>
      </c>
      <c r="G106">
        <v>0</v>
      </c>
      <c r="H106" t="s">
        <v>55</v>
      </c>
      <c r="I106" t="s">
        <v>44</v>
      </c>
      <c r="J106">
        <v>143</v>
      </c>
      <c r="K106" s="2">
        <v>0</v>
      </c>
      <c r="L106" s="2">
        <v>0</v>
      </c>
      <c r="M106" s="2"/>
      <c r="O106" s="3">
        <f t="shared" si="1"/>
        <v>0</v>
      </c>
      <c r="P106">
        <v>0</v>
      </c>
      <c r="Q106" t="b">
        <v>1</v>
      </c>
      <c r="R106" t="s">
        <v>51</v>
      </c>
      <c r="S106" t="s">
        <v>31</v>
      </c>
    </row>
    <row r="107" spans="1:19" x14ac:dyDescent="0.3">
      <c r="A107" t="s">
        <v>8</v>
      </c>
      <c r="B107" t="s">
        <v>33</v>
      </c>
      <c r="C107">
        <v>2008</v>
      </c>
      <c r="E107" t="s">
        <v>4</v>
      </c>
      <c r="F107" t="s">
        <v>5</v>
      </c>
      <c r="G107">
        <v>0</v>
      </c>
      <c r="H107" t="s">
        <v>55</v>
      </c>
      <c r="I107" t="s">
        <v>44</v>
      </c>
      <c r="J107">
        <v>143</v>
      </c>
      <c r="K107" s="2" t="s">
        <v>34</v>
      </c>
      <c r="L107" s="2">
        <v>4</v>
      </c>
      <c r="M107" s="2"/>
      <c r="O107" s="3">
        <f t="shared" si="1"/>
        <v>4</v>
      </c>
      <c r="P107">
        <v>2.5000000000000001E-3</v>
      </c>
      <c r="Q107" t="b">
        <v>1</v>
      </c>
      <c r="R107" t="s">
        <v>51</v>
      </c>
      <c r="S107" t="s">
        <v>31</v>
      </c>
    </row>
    <row r="108" spans="1:19" x14ac:dyDescent="0.3">
      <c r="A108" t="s">
        <v>8</v>
      </c>
      <c r="B108" t="s">
        <v>33</v>
      </c>
      <c r="C108">
        <v>2008</v>
      </c>
      <c r="E108" t="s">
        <v>4</v>
      </c>
      <c r="F108" t="s">
        <v>5</v>
      </c>
      <c r="G108">
        <v>0</v>
      </c>
      <c r="H108" t="s">
        <v>55</v>
      </c>
      <c r="I108" t="s">
        <v>44</v>
      </c>
      <c r="J108">
        <v>143</v>
      </c>
      <c r="K108" s="2" t="s">
        <v>35</v>
      </c>
      <c r="L108" s="2">
        <v>6</v>
      </c>
      <c r="M108" s="2"/>
      <c r="O108" s="3">
        <f t="shared" si="1"/>
        <v>6</v>
      </c>
      <c r="P108">
        <v>7.4999999999999997E-3</v>
      </c>
      <c r="Q108" t="b">
        <v>1</v>
      </c>
      <c r="R108" t="s">
        <v>51</v>
      </c>
      <c r="S108" t="s">
        <v>31</v>
      </c>
    </row>
    <row r="109" spans="1:19" x14ac:dyDescent="0.3">
      <c r="A109" t="s">
        <v>8</v>
      </c>
      <c r="B109" t="s">
        <v>33</v>
      </c>
      <c r="C109">
        <v>2008</v>
      </c>
      <c r="E109" t="s">
        <v>4</v>
      </c>
      <c r="F109" t="s">
        <v>5</v>
      </c>
      <c r="G109">
        <v>0</v>
      </c>
      <c r="H109" t="s">
        <v>55</v>
      </c>
      <c r="I109" t="s">
        <v>44</v>
      </c>
      <c r="J109">
        <v>143</v>
      </c>
      <c r="K109" s="2" t="s">
        <v>36</v>
      </c>
      <c r="L109" s="2">
        <v>24</v>
      </c>
      <c r="M109" s="2"/>
      <c r="O109" s="3">
        <f t="shared" si="1"/>
        <v>24</v>
      </c>
      <c r="P109">
        <v>0.02</v>
      </c>
      <c r="Q109" t="b">
        <v>1</v>
      </c>
      <c r="R109" t="s">
        <v>51</v>
      </c>
      <c r="S109" t="s">
        <v>31</v>
      </c>
    </row>
    <row r="110" spans="1:19" x14ac:dyDescent="0.3">
      <c r="A110" t="s">
        <v>8</v>
      </c>
      <c r="B110" t="s">
        <v>33</v>
      </c>
      <c r="C110">
        <v>2008</v>
      </c>
      <c r="E110" t="s">
        <v>4</v>
      </c>
      <c r="F110" t="s">
        <v>5</v>
      </c>
      <c r="G110">
        <v>0</v>
      </c>
      <c r="H110" t="s">
        <v>55</v>
      </c>
      <c r="I110" t="s">
        <v>44</v>
      </c>
      <c r="J110">
        <v>143</v>
      </c>
      <c r="K110" s="2" t="s">
        <v>37</v>
      </c>
      <c r="L110" s="2">
        <v>35</v>
      </c>
      <c r="M110" s="2"/>
      <c r="O110" s="3">
        <f t="shared" si="1"/>
        <v>35</v>
      </c>
      <c r="P110">
        <v>4.4999999999999998E-2</v>
      </c>
      <c r="Q110" t="b">
        <v>1</v>
      </c>
      <c r="R110" t="s">
        <v>51</v>
      </c>
      <c r="S110" t="s">
        <v>31</v>
      </c>
    </row>
    <row r="111" spans="1:19" x14ac:dyDescent="0.3">
      <c r="A111" t="s">
        <v>8</v>
      </c>
      <c r="B111" t="s">
        <v>33</v>
      </c>
      <c r="C111">
        <v>2008</v>
      </c>
      <c r="E111" t="s">
        <v>4</v>
      </c>
      <c r="F111" t="s">
        <v>5</v>
      </c>
      <c r="G111">
        <v>0</v>
      </c>
      <c r="H111" t="s">
        <v>55</v>
      </c>
      <c r="I111" t="s">
        <v>44</v>
      </c>
      <c r="J111">
        <v>143</v>
      </c>
      <c r="K111" s="2" t="s">
        <v>38</v>
      </c>
      <c r="L111" s="2">
        <v>32</v>
      </c>
      <c r="M111" s="2"/>
      <c r="O111" s="3">
        <f t="shared" si="1"/>
        <v>32</v>
      </c>
      <c r="P111">
        <v>0.08</v>
      </c>
      <c r="Q111" t="b">
        <v>1</v>
      </c>
      <c r="R111" t="s">
        <v>51</v>
      </c>
      <c r="S111" t="s">
        <v>31</v>
      </c>
    </row>
    <row r="112" spans="1:19" x14ac:dyDescent="0.3">
      <c r="A112" t="s">
        <v>8</v>
      </c>
      <c r="B112" t="s">
        <v>33</v>
      </c>
      <c r="C112">
        <v>2008</v>
      </c>
      <c r="E112" t="s">
        <v>4</v>
      </c>
      <c r="F112" t="s">
        <v>5</v>
      </c>
      <c r="G112">
        <v>0</v>
      </c>
      <c r="H112" t="s">
        <v>55</v>
      </c>
      <c r="I112" t="s">
        <v>44</v>
      </c>
      <c r="J112">
        <v>143</v>
      </c>
      <c r="K112" s="2" t="s">
        <v>45</v>
      </c>
      <c r="L112" s="2">
        <v>14</v>
      </c>
      <c r="M112" s="2"/>
      <c r="O112" s="3">
        <f t="shared" si="1"/>
        <v>14</v>
      </c>
      <c r="P112">
        <v>0.13</v>
      </c>
      <c r="Q112" t="b">
        <v>1</v>
      </c>
      <c r="R112" t="s">
        <v>51</v>
      </c>
      <c r="S112" t="s">
        <v>31</v>
      </c>
    </row>
    <row r="113" spans="1:22" x14ac:dyDescent="0.3">
      <c r="A113" t="s">
        <v>8</v>
      </c>
      <c r="B113" t="s">
        <v>33</v>
      </c>
      <c r="C113">
        <v>2008</v>
      </c>
      <c r="E113" t="s">
        <v>4</v>
      </c>
      <c r="F113" t="s">
        <v>5</v>
      </c>
      <c r="G113">
        <v>0</v>
      </c>
      <c r="H113" t="s">
        <v>55</v>
      </c>
      <c r="I113" t="s">
        <v>44</v>
      </c>
      <c r="J113">
        <v>143</v>
      </c>
      <c r="K113" s="2" t="s">
        <v>46</v>
      </c>
      <c r="L113" s="2">
        <v>9</v>
      </c>
      <c r="M113" s="2"/>
      <c r="O113" s="3">
        <f t="shared" si="1"/>
        <v>9</v>
      </c>
      <c r="P113">
        <v>0.18</v>
      </c>
      <c r="Q113" t="b">
        <v>1</v>
      </c>
      <c r="R113" t="s">
        <v>51</v>
      </c>
      <c r="S113" t="s">
        <v>31</v>
      </c>
    </row>
    <row r="114" spans="1:22" x14ac:dyDescent="0.3">
      <c r="A114" t="s">
        <v>8</v>
      </c>
      <c r="B114" t="s">
        <v>33</v>
      </c>
      <c r="C114">
        <v>2008</v>
      </c>
      <c r="E114" t="s">
        <v>4</v>
      </c>
      <c r="F114" t="s">
        <v>5</v>
      </c>
      <c r="G114">
        <v>0</v>
      </c>
      <c r="H114" t="s">
        <v>55</v>
      </c>
      <c r="I114" t="s">
        <v>44</v>
      </c>
      <c r="J114">
        <v>143</v>
      </c>
      <c r="K114" s="2" t="s">
        <v>47</v>
      </c>
      <c r="L114" s="2">
        <v>10</v>
      </c>
      <c r="M114" s="2"/>
      <c r="O114" s="3">
        <f t="shared" si="1"/>
        <v>10</v>
      </c>
      <c r="P114">
        <v>0.23</v>
      </c>
      <c r="Q114" t="b">
        <v>1</v>
      </c>
      <c r="R114" t="s">
        <v>51</v>
      </c>
      <c r="S114" t="s">
        <v>31</v>
      </c>
    </row>
    <row r="115" spans="1:22" x14ac:dyDescent="0.3">
      <c r="A115" t="s">
        <v>8</v>
      </c>
      <c r="B115" t="s">
        <v>33</v>
      </c>
      <c r="C115">
        <v>2008</v>
      </c>
      <c r="E115" t="s">
        <v>4</v>
      </c>
      <c r="F115" t="s">
        <v>5</v>
      </c>
      <c r="G115">
        <v>0</v>
      </c>
      <c r="H115" t="s">
        <v>55</v>
      </c>
      <c r="I115" t="s">
        <v>44</v>
      </c>
      <c r="J115">
        <v>143</v>
      </c>
      <c r="K115" s="2" t="s">
        <v>48</v>
      </c>
      <c r="L115" s="2">
        <v>9</v>
      </c>
      <c r="M115" s="2"/>
      <c r="O115" s="3">
        <f t="shared" si="1"/>
        <v>9</v>
      </c>
      <c r="P115">
        <v>0.4</v>
      </c>
      <c r="Q115" t="b">
        <v>1</v>
      </c>
      <c r="R115" t="s">
        <v>51</v>
      </c>
      <c r="S115" t="s">
        <v>31</v>
      </c>
    </row>
    <row r="116" spans="1:22" x14ac:dyDescent="0.3">
      <c r="A116" t="s">
        <v>8</v>
      </c>
      <c r="B116" t="s">
        <v>33</v>
      </c>
      <c r="C116">
        <v>2008</v>
      </c>
      <c r="E116" t="s">
        <v>4</v>
      </c>
      <c r="F116" t="s">
        <v>5</v>
      </c>
      <c r="G116">
        <v>0</v>
      </c>
      <c r="H116" t="s">
        <v>55</v>
      </c>
      <c r="I116" t="s">
        <v>49</v>
      </c>
      <c r="J116">
        <v>113</v>
      </c>
      <c r="K116" s="2">
        <v>0</v>
      </c>
      <c r="L116" s="2">
        <v>6</v>
      </c>
      <c r="M116" s="2"/>
      <c r="O116" s="3">
        <f t="shared" si="1"/>
        <v>6</v>
      </c>
      <c r="P116">
        <v>0</v>
      </c>
      <c r="Q116" t="b">
        <v>1</v>
      </c>
      <c r="R116" t="s">
        <v>51</v>
      </c>
      <c r="S116" t="s">
        <v>31</v>
      </c>
    </row>
    <row r="117" spans="1:22" x14ac:dyDescent="0.3">
      <c r="A117" t="s">
        <v>8</v>
      </c>
      <c r="B117" t="s">
        <v>33</v>
      </c>
      <c r="C117">
        <v>2008</v>
      </c>
      <c r="E117" t="s">
        <v>4</v>
      </c>
      <c r="F117" t="s">
        <v>5</v>
      </c>
      <c r="G117">
        <v>0</v>
      </c>
      <c r="H117" t="s">
        <v>55</v>
      </c>
      <c r="I117" t="s">
        <v>49</v>
      </c>
      <c r="J117">
        <v>113</v>
      </c>
      <c r="K117" s="2" t="s">
        <v>34</v>
      </c>
      <c r="L117" s="2">
        <v>32</v>
      </c>
      <c r="M117" s="2"/>
      <c r="O117" s="3">
        <f t="shared" si="1"/>
        <v>32</v>
      </c>
      <c r="P117">
        <v>2.5000000000000001E-3</v>
      </c>
      <c r="Q117" t="b">
        <v>1</v>
      </c>
      <c r="R117" t="s">
        <v>51</v>
      </c>
      <c r="S117" t="s">
        <v>31</v>
      </c>
    </row>
    <row r="118" spans="1:22" x14ac:dyDescent="0.3">
      <c r="A118" t="s">
        <v>8</v>
      </c>
      <c r="B118" t="s">
        <v>33</v>
      </c>
      <c r="C118">
        <v>2008</v>
      </c>
      <c r="E118" t="s">
        <v>4</v>
      </c>
      <c r="F118" t="s">
        <v>5</v>
      </c>
      <c r="G118">
        <v>0</v>
      </c>
      <c r="H118" t="s">
        <v>55</v>
      </c>
      <c r="I118" t="s">
        <v>49</v>
      </c>
      <c r="J118">
        <v>113</v>
      </c>
      <c r="K118" s="2" t="s">
        <v>35</v>
      </c>
      <c r="L118" s="2">
        <v>23</v>
      </c>
      <c r="M118" s="2"/>
      <c r="O118" s="3">
        <f t="shared" si="1"/>
        <v>23</v>
      </c>
      <c r="P118">
        <v>7.4999999999999997E-3</v>
      </c>
      <c r="Q118" t="b">
        <v>1</v>
      </c>
      <c r="R118" t="s">
        <v>51</v>
      </c>
      <c r="S118" t="s">
        <v>31</v>
      </c>
    </row>
    <row r="119" spans="1:22" x14ac:dyDescent="0.3">
      <c r="A119" t="s">
        <v>8</v>
      </c>
      <c r="B119" t="s">
        <v>33</v>
      </c>
      <c r="C119">
        <v>2008</v>
      </c>
      <c r="E119" t="s">
        <v>4</v>
      </c>
      <c r="F119" t="s">
        <v>5</v>
      </c>
      <c r="G119">
        <v>0</v>
      </c>
      <c r="H119" t="s">
        <v>55</v>
      </c>
      <c r="I119" t="s">
        <v>49</v>
      </c>
      <c r="J119">
        <v>113</v>
      </c>
      <c r="K119" s="2" t="s">
        <v>36</v>
      </c>
      <c r="L119" s="2">
        <v>30</v>
      </c>
      <c r="M119" s="2"/>
      <c r="O119" s="3">
        <f t="shared" si="1"/>
        <v>30</v>
      </c>
      <c r="P119">
        <v>0.02</v>
      </c>
      <c r="Q119" t="b">
        <v>1</v>
      </c>
      <c r="R119" t="s">
        <v>51</v>
      </c>
      <c r="S119" t="s">
        <v>31</v>
      </c>
    </row>
    <row r="120" spans="1:22" x14ac:dyDescent="0.3">
      <c r="A120" t="s">
        <v>8</v>
      </c>
      <c r="B120" t="s">
        <v>33</v>
      </c>
      <c r="C120">
        <v>2008</v>
      </c>
      <c r="E120" t="s">
        <v>4</v>
      </c>
      <c r="F120" t="s">
        <v>5</v>
      </c>
      <c r="G120">
        <v>0</v>
      </c>
      <c r="H120" t="s">
        <v>55</v>
      </c>
      <c r="I120" t="s">
        <v>49</v>
      </c>
      <c r="J120">
        <v>113</v>
      </c>
      <c r="K120" s="2" t="s">
        <v>37</v>
      </c>
      <c r="L120" s="2">
        <v>11</v>
      </c>
      <c r="M120" s="2"/>
      <c r="O120" s="3">
        <f t="shared" si="1"/>
        <v>11</v>
      </c>
      <c r="P120">
        <v>4.4999999999999998E-2</v>
      </c>
      <c r="Q120" t="b">
        <v>1</v>
      </c>
      <c r="R120" t="s">
        <v>51</v>
      </c>
      <c r="S120" t="s">
        <v>31</v>
      </c>
    </row>
    <row r="121" spans="1:22" x14ac:dyDescent="0.3">
      <c r="A121" t="s">
        <v>8</v>
      </c>
      <c r="B121" t="s">
        <v>33</v>
      </c>
      <c r="C121">
        <v>2008</v>
      </c>
      <c r="E121" t="s">
        <v>4</v>
      </c>
      <c r="F121" t="s">
        <v>5</v>
      </c>
      <c r="G121">
        <v>0</v>
      </c>
      <c r="H121" t="s">
        <v>55</v>
      </c>
      <c r="I121" t="s">
        <v>49</v>
      </c>
      <c r="J121">
        <v>113</v>
      </c>
      <c r="K121" s="2" t="s">
        <v>38</v>
      </c>
      <c r="L121" s="2">
        <v>7</v>
      </c>
      <c r="M121" s="2"/>
      <c r="O121" s="3">
        <f t="shared" si="1"/>
        <v>7</v>
      </c>
      <c r="P121">
        <v>0.08</v>
      </c>
      <c r="Q121" t="b">
        <v>1</v>
      </c>
      <c r="R121" t="s">
        <v>51</v>
      </c>
      <c r="S121" t="s">
        <v>31</v>
      </c>
    </row>
    <row r="122" spans="1:22" x14ac:dyDescent="0.3">
      <c r="A122" t="s">
        <v>8</v>
      </c>
      <c r="B122" t="s">
        <v>33</v>
      </c>
      <c r="C122">
        <v>2008</v>
      </c>
      <c r="E122" t="s">
        <v>4</v>
      </c>
      <c r="F122" t="s">
        <v>5</v>
      </c>
      <c r="G122">
        <v>0</v>
      </c>
      <c r="H122" t="s">
        <v>55</v>
      </c>
      <c r="I122" t="s">
        <v>49</v>
      </c>
      <c r="J122">
        <v>113</v>
      </c>
      <c r="K122" s="2" t="s">
        <v>45</v>
      </c>
      <c r="L122" s="2">
        <v>2</v>
      </c>
      <c r="M122" s="2"/>
      <c r="O122" s="3">
        <f t="shared" si="1"/>
        <v>2</v>
      </c>
      <c r="P122">
        <v>0.13</v>
      </c>
      <c r="Q122" t="b">
        <v>1</v>
      </c>
      <c r="R122" t="s">
        <v>51</v>
      </c>
      <c r="S122" t="s">
        <v>31</v>
      </c>
    </row>
    <row r="123" spans="1:22" x14ac:dyDescent="0.3">
      <c r="A123" t="s">
        <v>8</v>
      </c>
      <c r="B123" t="s">
        <v>33</v>
      </c>
      <c r="C123">
        <v>2008</v>
      </c>
      <c r="E123" t="s">
        <v>4</v>
      </c>
      <c r="F123" t="s">
        <v>5</v>
      </c>
      <c r="G123">
        <v>0</v>
      </c>
      <c r="H123" t="s">
        <v>55</v>
      </c>
      <c r="I123" t="s">
        <v>49</v>
      </c>
      <c r="J123">
        <v>113</v>
      </c>
      <c r="K123" s="2" t="s">
        <v>46</v>
      </c>
      <c r="L123" s="2">
        <v>1</v>
      </c>
      <c r="M123" s="2"/>
      <c r="O123" s="3">
        <f t="shared" si="1"/>
        <v>1</v>
      </c>
      <c r="P123">
        <v>0.18</v>
      </c>
      <c r="Q123" t="b">
        <v>1</v>
      </c>
      <c r="R123" t="s">
        <v>51</v>
      </c>
      <c r="S123" t="s">
        <v>31</v>
      </c>
    </row>
    <row r="124" spans="1:22" x14ac:dyDescent="0.3">
      <c r="A124" t="s">
        <v>8</v>
      </c>
      <c r="B124" t="s">
        <v>33</v>
      </c>
      <c r="C124">
        <v>2009</v>
      </c>
      <c r="E124" t="s">
        <v>4</v>
      </c>
      <c r="F124" t="s">
        <v>5</v>
      </c>
      <c r="G124">
        <v>0</v>
      </c>
      <c r="H124" t="s">
        <v>55</v>
      </c>
      <c r="I124" t="s">
        <v>49</v>
      </c>
      <c r="J124">
        <v>114</v>
      </c>
      <c r="K124" s="2" t="s">
        <v>47</v>
      </c>
      <c r="L124" s="2">
        <v>0</v>
      </c>
      <c r="M124" s="2"/>
      <c r="O124" s="3">
        <f t="shared" si="1"/>
        <v>0</v>
      </c>
      <c r="P124">
        <v>0.23</v>
      </c>
      <c r="Q124" t="b">
        <v>1</v>
      </c>
      <c r="R124" t="s">
        <v>51</v>
      </c>
      <c r="S124" t="s">
        <v>31</v>
      </c>
    </row>
    <row r="125" spans="1:22" x14ac:dyDescent="0.3">
      <c r="A125" t="s">
        <v>8</v>
      </c>
      <c r="B125" t="s">
        <v>33</v>
      </c>
      <c r="C125">
        <v>2008</v>
      </c>
      <c r="E125" t="s">
        <v>4</v>
      </c>
      <c r="F125" t="s">
        <v>5</v>
      </c>
      <c r="G125">
        <v>0</v>
      </c>
      <c r="H125" t="s">
        <v>55</v>
      </c>
      <c r="I125" t="s">
        <v>49</v>
      </c>
      <c r="J125">
        <v>113</v>
      </c>
      <c r="K125" s="2" t="s">
        <v>48</v>
      </c>
      <c r="L125" s="2">
        <v>1</v>
      </c>
      <c r="M125" s="2"/>
      <c r="O125" s="3">
        <f t="shared" si="1"/>
        <v>1</v>
      </c>
      <c r="P125">
        <v>0.4</v>
      </c>
      <c r="Q125" t="b">
        <v>1</v>
      </c>
      <c r="R125" t="s">
        <v>51</v>
      </c>
      <c r="S125" t="s">
        <v>31</v>
      </c>
    </row>
    <row r="126" spans="1:22" s="3" customFormat="1" x14ac:dyDescent="0.3">
      <c r="A126" s="3" t="s">
        <v>9</v>
      </c>
      <c r="B126" s="3" t="s">
        <v>33</v>
      </c>
      <c r="C126" s="3">
        <v>2008</v>
      </c>
      <c r="E126" s="3" t="s">
        <v>4</v>
      </c>
      <c r="F126" s="3" t="s">
        <v>5</v>
      </c>
      <c r="G126" s="3">
        <v>0</v>
      </c>
      <c r="H126" s="3" t="s">
        <v>56</v>
      </c>
      <c r="I126" s="3" t="s">
        <v>40</v>
      </c>
      <c r="J126" s="3">
        <v>174</v>
      </c>
      <c r="K126" s="4">
        <v>0</v>
      </c>
      <c r="L126" s="4">
        <v>1</v>
      </c>
      <c r="M126" s="4"/>
      <c r="O126" s="3">
        <f t="shared" si="1"/>
        <v>1</v>
      </c>
      <c r="P126" s="3">
        <v>0</v>
      </c>
      <c r="Q126" t="b">
        <v>1</v>
      </c>
      <c r="R126" s="3" t="s">
        <v>51</v>
      </c>
      <c r="S126" s="3" t="s">
        <v>31</v>
      </c>
      <c r="T126" s="3" t="s">
        <v>50</v>
      </c>
      <c r="V126" s="3" t="s">
        <v>162</v>
      </c>
    </row>
    <row r="127" spans="1:22" s="3" customFormat="1" x14ac:dyDescent="0.3">
      <c r="A127" s="3" t="s">
        <v>9</v>
      </c>
      <c r="B127" s="3" t="s">
        <v>33</v>
      </c>
      <c r="C127" s="3">
        <v>2008</v>
      </c>
      <c r="E127" s="3" t="s">
        <v>4</v>
      </c>
      <c r="F127" s="3" t="s">
        <v>5</v>
      </c>
      <c r="G127" s="3">
        <v>0</v>
      </c>
      <c r="H127" s="3" t="s">
        <v>56</v>
      </c>
      <c r="I127" s="3" t="s">
        <v>40</v>
      </c>
      <c r="J127" s="3">
        <v>174</v>
      </c>
      <c r="K127" s="3" t="s">
        <v>34</v>
      </c>
      <c r="L127" s="4">
        <v>41</v>
      </c>
      <c r="O127" s="3">
        <f t="shared" si="1"/>
        <v>41</v>
      </c>
      <c r="P127" s="3">
        <v>2.5000000000000001E-3</v>
      </c>
      <c r="Q127" t="b">
        <v>1</v>
      </c>
      <c r="R127" s="3" t="s">
        <v>51</v>
      </c>
      <c r="S127" s="3" t="s">
        <v>31</v>
      </c>
    </row>
    <row r="128" spans="1:22" s="3" customFormat="1" x14ac:dyDescent="0.3">
      <c r="A128" s="3" t="s">
        <v>9</v>
      </c>
      <c r="B128" s="3" t="s">
        <v>33</v>
      </c>
      <c r="C128" s="3">
        <v>2008</v>
      </c>
      <c r="E128" s="3" t="s">
        <v>4</v>
      </c>
      <c r="F128" s="3" t="s">
        <v>5</v>
      </c>
      <c r="G128" s="3">
        <v>0</v>
      </c>
      <c r="H128" s="3" t="s">
        <v>56</v>
      </c>
      <c r="I128" s="3" t="s">
        <v>40</v>
      </c>
      <c r="J128" s="3">
        <v>174</v>
      </c>
      <c r="K128" s="3" t="s">
        <v>35</v>
      </c>
      <c r="L128" s="4">
        <v>46</v>
      </c>
      <c r="O128" s="3">
        <f t="shared" si="1"/>
        <v>46</v>
      </c>
      <c r="P128" s="3">
        <v>7.4999999999999997E-3</v>
      </c>
      <c r="Q128" t="b">
        <v>1</v>
      </c>
      <c r="R128" s="3" t="s">
        <v>51</v>
      </c>
      <c r="S128" s="3" t="s">
        <v>31</v>
      </c>
    </row>
    <row r="129" spans="1:19" s="3" customFormat="1" x14ac:dyDescent="0.3">
      <c r="A129" s="3" t="s">
        <v>9</v>
      </c>
      <c r="B129" s="3" t="s">
        <v>33</v>
      </c>
      <c r="C129" s="3">
        <v>2008</v>
      </c>
      <c r="E129" s="3" t="s">
        <v>4</v>
      </c>
      <c r="F129" s="3" t="s">
        <v>5</v>
      </c>
      <c r="G129" s="3">
        <v>0</v>
      </c>
      <c r="H129" s="3" t="s">
        <v>56</v>
      </c>
      <c r="I129" s="3" t="s">
        <v>40</v>
      </c>
      <c r="J129" s="3">
        <v>174</v>
      </c>
      <c r="K129" s="5" t="s">
        <v>36</v>
      </c>
      <c r="L129" s="4">
        <v>51</v>
      </c>
      <c r="M129" s="5"/>
      <c r="O129" s="3">
        <f t="shared" si="1"/>
        <v>51</v>
      </c>
      <c r="P129" s="3">
        <v>0.02</v>
      </c>
      <c r="Q129" t="b">
        <v>1</v>
      </c>
      <c r="R129" s="3" t="s">
        <v>51</v>
      </c>
      <c r="S129" s="3" t="s">
        <v>31</v>
      </c>
    </row>
    <row r="130" spans="1:19" s="3" customFormat="1" x14ac:dyDescent="0.3">
      <c r="A130" s="3" t="s">
        <v>9</v>
      </c>
      <c r="B130" s="3" t="s">
        <v>33</v>
      </c>
      <c r="C130" s="3">
        <v>2008</v>
      </c>
      <c r="E130" s="3" t="s">
        <v>4</v>
      </c>
      <c r="F130" s="3" t="s">
        <v>5</v>
      </c>
      <c r="G130" s="3">
        <v>0</v>
      </c>
      <c r="H130" s="3" t="s">
        <v>56</v>
      </c>
      <c r="I130" s="3" t="s">
        <v>40</v>
      </c>
      <c r="J130" s="3">
        <v>174</v>
      </c>
      <c r="K130" s="3" t="s">
        <v>37</v>
      </c>
      <c r="L130" s="4">
        <v>28</v>
      </c>
      <c r="O130" s="3">
        <f t="shared" si="1"/>
        <v>28</v>
      </c>
      <c r="P130" s="3">
        <v>4.4999999999999998E-2</v>
      </c>
      <c r="Q130" t="b">
        <v>1</v>
      </c>
      <c r="R130" s="3" t="s">
        <v>51</v>
      </c>
      <c r="S130" s="3" t="s">
        <v>31</v>
      </c>
    </row>
    <row r="131" spans="1:19" s="3" customFormat="1" x14ac:dyDescent="0.3">
      <c r="A131" s="3" t="s">
        <v>9</v>
      </c>
      <c r="B131" s="3" t="s">
        <v>33</v>
      </c>
      <c r="C131" s="3">
        <v>2008</v>
      </c>
      <c r="E131" s="3" t="s">
        <v>4</v>
      </c>
      <c r="F131" s="3" t="s">
        <v>5</v>
      </c>
      <c r="G131" s="3">
        <v>0</v>
      </c>
      <c r="H131" s="3" t="s">
        <v>56</v>
      </c>
      <c r="I131" s="3" t="s">
        <v>40</v>
      </c>
      <c r="J131" s="3">
        <v>174</v>
      </c>
      <c r="K131" s="3" t="s">
        <v>38</v>
      </c>
      <c r="L131" s="4">
        <v>4</v>
      </c>
      <c r="O131" s="3">
        <f t="shared" si="1"/>
        <v>4</v>
      </c>
      <c r="P131" s="3">
        <v>0.08</v>
      </c>
      <c r="Q131" t="b">
        <v>1</v>
      </c>
      <c r="R131" s="3" t="s">
        <v>51</v>
      </c>
      <c r="S131" s="3" t="s">
        <v>31</v>
      </c>
    </row>
    <row r="132" spans="1:19" s="3" customFormat="1" x14ac:dyDescent="0.3">
      <c r="A132" s="3" t="s">
        <v>9</v>
      </c>
      <c r="B132" s="3" t="s">
        <v>33</v>
      </c>
      <c r="C132" s="3">
        <v>2008</v>
      </c>
      <c r="E132" s="3" t="s">
        <v>4</v>
      </c>
      <c r="F132" s="3" t="s">
        <v>5</v>
      </c>
      <c r="G132" s="3">
        <v>0</v>
      </c>
      <c r="H132" s="3" t="s">
        <v>56</v>
      </c>
      <c r="I132" s="3" t="s">
        <v>40</v>
      </c>
      <c r="J132" s="3">
        <v>174</v>
      </c>
      <c r="K132" s="3" t="s">
        <v>45</v>
      </c>
      <c r="L132" s="4">
        <v>1</v>
      </c>
      <c r="O132" s="3">
        <f t="shared" ref="O132:O165" si="2">L132</f>
        <v>1</v>
      </c>
      <c r="P132" s="3">
        <v>0.13</v>
      </c>
      <c r="Q132" t="b">
        <v>1</v>
      </c>
      <c r="R132" s="3" t="s">
        <v>51</v>
      </c>
      <c r="S132" s="3" t="s">
        <v>31</v>
      </c>
    </row>
    <row r="133" spans="1:19" s="3" customFormat="1" x14ac:dyDescent="0.3">
      <c r="A133" s="3" t="s">
        <v>9</v>
      </c>
      <c r="B133" s="3" t="s">
        <v>33</v>
      </c>
      <c r="C133" s="3">
        <v>2008</v>
      </c>
      <c r="E133" s="3" t="s">
        <v>4</v>
      </c>
      <c r="F133" s="3" t="s">
        <v>5</v>
      </c>
      <c r="G133" s="3">
        <v>0</v>
      </c>
      <c r="H133" s="3" t="s">
        <v>56</v>
      </c>
      <c r="I133" s="3" t="s">
        <v>40</v>
      </c>
      <c r="J133" s="3">
        <v>174</v>
      </c>
      <c r="K133" s="3" t="s">
        <v>46</v>
      </c>
      <c r="L133" s="4">
        <v>1</v>
      </c>
      <c r="O133" s="3">
        <f t="shared" si="2"/>
        <v>1</v>
      </c>
      <c r="P133" s="3">
        <v>0.18</v>
      </c>
      <c r="Q133" t="b">
        <v>1</v>
      </c>
      <c r="R133" s="3" t="s">
        <v>51</v>
      </c>
      <c r="S133" s="3" t="s">
        <v>31</v>
      </c>
    </row>
    <row r="134" spans="1:19" s="3" customFormat="1" x14ac:dyDescent="0.3">
      <c r="A134" s="3" t="s">
        <v>9</v>
      </c>
      <c r="B134" s="3" t="s">
        <v>33</v>
      </c>
      <c r="C134" s="3">
        <v>2008</v>
      </c>
      <c r="E134" s="3" t="s">
        <v>4</v>
      </c>
      <c r="F134" s="3" t="s">
        <v>5</v>
      </c>
      <c r="G134" s="3">
        <v>0</v>
      </c>
      <c r="H134" s="3" t="s">
        <v>56</v>
      </c>
      <c r="I134" s="3" t="s">
        <v>40</v>
      </c>
      <c r="J134" s="3">
        <v>174</v>
      </c>
      <c r="K134" s="3" t="s">
        <v>47</v>
      </c>
      <c r="L134" s="4">
        <v>0</v>
      </c>
      <c r="O134" s="3">
        <f t="shared" si="2"/>
        <v>0</v>
      </c>
      <c r="P134" s="3">
        <v>0.23</v>
      </c>
      <c r="Q134" t="b">
        <v>1</v>
      </c>
      <c r="R134" s="3" t="s">
        <v>51</v>
      </c>
      <c r="S134" s="3" t="s">
        <v>31</v>
      </c>
    </row>
    <row r="135" spans="1:19" s="3" customFormat="1" x14ac:dyDescent="0.3">
      <c r="A135" s="3" t="s">
        <v>9</v>
      </c>
      <c r="B135" s="3" t="s">
        <v>33</v>
      </c>
      <c r="C135" s="3">
        <v>2008</v>
      </c>
      <c r="E135" s="3" t="s">
        <v>4</v>
      </c>
      <c r="F135" s="3" t="s">
        <v>5</v>
      </c>
      <c r="G135" s="3">
        <v>0</v>
      </c>
      <c r="H135" s="3" t="s">
        <v>56</v>
      </c>
      <c r="I135" s="3" t="s">
        <v>40</v>
      </c>
      <c r="J135" s="3">
        <v>174</v>
      </c>
      <c r="K135" s="3" t="s">
        <v>48</v>
      </c>
      <c r="L135" s="4">
        <v>1</v>
      </c>
      <c r="O135" s="3">
        <f t="shared" si="2"/>
        <v>1</v>
      </c>
      <c r="P135" s="3">
        <v>0.4</v>
      </c>
      <c r="Q135" t="b">
        <v>1</v>
      </c>
      <c r="R135" s="3" t="s">
        <v>51</v>
      </c>
      <c r="S135" s="3" t="s">
        <v>31</v>
      </c>
    </row>
    <row r="136" spans="1:19" s="3" customFormat="1" x14ac:dyDescent="0.3">
      <c r="A136" s="3" t="s">
        <v>9</v>
      </c>
      <c r="B136" s="3" t="s">
        <v>33</v>
      </c>
      <c r="C136" s="3">
        <v>2008</v>
      </c>
      <c r="E136" s="3" t="s">
        <v>4</v>
      </c>
      <c r="F136" s="3" t="s">
        <v>5</v>
      </c>
      <c r="G136" s="3">
        <v>0</v>
      </c>
      <c r="H136" s="3" t="s">
        <v>56</v>
      </c>
      <c r="I136" s="3" t="s">
        <v>43</v>
      </c>
      <c r="J136" s="3">
        <v>22</v>
      </c>
      <c r="K136" s="3">
        <v>0</v>
      </c>
      <c r="L136" s="4">
        <v>1</v>
      </c>
      <c r="O136" s="3">
        <f t="shared" si="2"/>
        <v>1</v>
      </c>
      <c r="P136" s="3">
        <v>0</v>
      </c>
      <c r="Q136" t="b">
        <v>1</v>
      </c>
      <c r="R136" s="3" t="s">
        <v>51</v>
      </c>
      <c r="S136" s="3" t="s">
        <v>31</v>
      </c>
    </row>
    <row r="137" spans="1:19" s="3" customFormat="1" x14ac:dyDescent="0.3">
      <c r="A137" s="3" t="s">
        <v>9</v>
      </c>
      <c r="B137" s="3" t="s">
        <v>33</v>
      </c>
      <c r="C137" s="3">
        <v>2008</v>
      </c>
      <c r="E137" s="3" t="s">
        <v>4</v>
      </c>
      <c r="F137" s="3" t="s">
        <v>5</v>
      </c>
      <c r="G137" s="3">
        <v>0</v>
      </c>
      <c r="H137" s="3" t="s">
        <v>56</v>
      </c>
      <c r="I137" s="3" t="s">
        <v>43</v>
      </c>
      <c r="J137" s="3">
        <v>22</v>
      </c>
      <c r="K137" s="4" t="s">
        <v>34</v>
      </c>
      <c r="L137" s="4">
        <v>10</v>
      </c>
      <c r="M137" s="4"/>
      <c r="O137" s="3">
        <f t="shared" si="2"/>
        <v>10</v>
      </c>
      <c r="P137" s="3">
        <v>2.5000000000000001E-3</v>
      </c>
      <c r="Q137" t="b">
        <v>1</v>
      </c>
      <c r="R137" s="3" t="s">
        <v>51</v>
      </c>
      <c r="S137" s="3" t="s">
        <v>31</v>
      </c>
    </row>
    <row r="138" spans="1:19" s="3" customFormat="1" x14ac:dyDescent="0.3">
      <c r="A138" s="3" t="s">
        <v>9</v>
      </c>
      <c r="B138" s="3" t="s">
        <v>33</v>
      </c>
      <c r="C138" s="3">
        <v>2008</v>
      </c>
      <c r="E138" s="3" t="s">
        <v>4</v>
      </c>
      <c r="F138" s="3" t="s">
        <v>5</v>
      </c>
      <c r="G138" s="3">
        <v>0</v>
      </c>
      <c r="H138" s="3" t="s">
        <v>56</v>
      </c>
      <c r="I138" s="3" t="s">
        <v>43</v>
      </c>
      <c r="J138" s="3">
        <v>22</v>
      </c>
      <c r="K138" s="4" t="s">
        <v>35</v>
      </c>
      <c r="L138" s="4">
        <v>3</v>
      </c>
      <c r="M138" s="4"/>
      <c r="O138" s="3">
        <f t="shared" si="2"/>
        <v>3</v>
      </c>
      <c r="P138" s="3">
        <v>7.4999999999999997E-3</v>
      </c>
      <c r="Q138" t="b">
        <v>1</v>
      </c>
      <c r="R138" s="3" t="s">
        <v>51</v>
      </c>
      <c r="S138" s="3" t="s">
        <v>31</v>
      </c>
    </row>
    <row r="139" spans="1:19" s="3" customFormat="1" x14ac:dyDescent="0.3">
      <c r="A139" s="3" t="s">
        <v>9</v>
      </c>
      <c r="B139" s="3" t="s">
        <v>33</v>
      </c>
      <c r="C139" s="3">
        <v>2008</v>
      </c>
      <c r="E139" s="3" t="s">
        <v>4</v>
      </c>
      <c r="F139" s="3" t="s">
        <v>5</v>
      </c>
      <c r="G139" s="3">
        <v>0</v>
      </c>
      <c r="H139" s="3" t="s">
        <v>56</v>
      </c>
      <c r="I139" s="3" t="s">
        <v>43</v>
      </c>
      <c r="J139" s="3">
        <v>22</v>
      </c>
      <c r="K139" s="4" t="s">
        <v>36</v>
      </c>
      <c r="L139" s="4">
        <v>5</v>
      </c>
      <c r="M139" s="4"/>
      <c r="O139" s="3">
        <f t="shared" si="2"/>
        <v>5</v>
      </c>
      <c r="P139" s="3">
        <v>0.02</v>
      </c>
      <c r="Q139" t="b">
        <v>1</v>
      </c>
      <c r="R139" s="3" t="s">
        <v>51</v>
      </c>
      <c r="S139" s="3" t="s">
        <v>31</v>
      </c>
    </row>
    <row r="140" spans="1:19" s="3" customFormat="1" x14ac:dyDescent="0.3">
      <c r="A140" s="3" t="s">
        <v>9</v>
      </c>
      <c r="B140" s="3" t="s">
        <v>33</v>
      </c>
      <c r="C140" s="3">
        <v>2008</v>
      </c>
      <c r="E140" s="3" t="s">
        <v>4</v>
      </c>
      <c r="F140" s="3" t="s">
        <v>5</v>
      </c>
      <c r="G140" s="3">
        <v>0</v>
      </c>
      <c r="H140" s="3" t="s">
        <v>56</v>
      </c>
      <c r="I140" s="3" t="s">
        <v>43</v>
      </c>
      <c r="J140" s="3">
        <v>22</v>
      </c>
      <c r="K140" s="4" t="s">
        <v>37</v>
      </c>
      <c r="L140" s="4">
        <v>0</v>
      </c>
      <c r="M140" s="4"/>
      <c r="O140" s="3">
        <f t="shared" si="2"/>
        <v>0</v>
      </c>
      <c r="P140" s="3">
        <v>4.4999999999999998E-2</v>
      </c>
      <c r="Q140" t="b">
        <v>1</v>
      </c>
      <c r="R140" s="3" t="s">
        <v>51</v>
      </c>
      <c r="S140" s="3" t="s">
        <v>31</v>
      </c>
    </row>
    <row r="141" spans="1:19" s="3" customFormat="1" x14ac:dyDescent="0.3">
      <c r="A141" s="3" t="s">
        <v>9</v>
      </c>
      <c r="B141" s="3" t="s">
        <v>33</v>
      </c>
      <c r="C141" s="3">
        <v>2008</v>
      </c>
      <c r="E141" s="3" t="s">
        <v>4</v>
      </c>
      <c r="F141" s="3" t="s">
        <v>5</v>
      </c>
      <c r="G141" s="3">
        <v>0</v>
      </c>
      <c r="H141" s="3" t="s">
        <v>56</v>
      </c>
      <c r="I141" s="3" t="s">
        <v>43</v>
      </c>
      <c r="J141" s="3">
        <v>22</v>
      </c>
      <c r="K141" s="4" t="s">
        <v>38</v>
      </c>
      <c r="L141" s="4">
        <v>3</v>
      </c>
      <c r="M141" s="4"/>
      <c r="O141" s="3">
        <f t="shared" si="2"/>
        <v>3</v>
      </c>
      <c r="P141" s="3">
        <v>0.08</v>
      </c>
      <c r="Q141" t="b">
        <v>1</v>
      </c>
      <c r="R141" s="3" t="s">
        <v>51</v>
      </c>
      <c r="S141" s="3" t="s">
        <v>31</v>
      </c>
    </row>
    <row r="142" spans="1:19" s="3" customFormat="1" x14ac:dyDescent="0.3">
      <c r="A142" s="3" t="s">
        <v>9</v>
      </c>
      <c r="B142" s="3" t="s">
        <v>33</v>
      </c>
      <c r="C142" s="3">
        <v>2008</v>
      </c>
      <c r="E142" s="3" t="s">
        <v>4</v>
      </c>
      <c r="F142" s="3" t="s">
        <v>5</v>
      </c>
      <c r="G142" s="3">
        <v>0</v>
      </c>
      <c r="H142" s="3" t="s">
        <v>56</v>
      </c>
      <c r="I142" s="3" t="s">
        <v>43</v>
      </c>
      <c r="J142" s="3">
        <v>22</v>
      </c>
      <c r="K142" s="4" t="s">
        <v>45</v>
      </c>
      <c r="L142" s="4">
        <v>0</v>
      </c>
      <c r="M142" s="4"/>
      <c r="O142" s="3">
        <f t="shared" si="2"/>
        <v>0</v>
      </c>
      <c r="P142" s="3">
        <v>0.13</v>
      </c>
      <c r="Q142" t="b">
        <v>1</v>
      </c>
      <c r="R142" s="3" t="s">
        <v>51</v>
      </c>
      <c r="S142" s="3" t="s">
        <v>31</v>
      </c>
    </row>
    <row r="143" spans="1:19" s="3" customFormat="1" x14ac:dyDescent="0.3">
      <c r="A143" s="3" t="s">
        <v>9</v>
      </c>
      <c r="B143" s="3" t="s">
        <v>33</v>
      </c>
      <c r="C143" s="3">
        <v>2008</v>
      </c>
      <c r="E143" s="3" t="s">
        <v>4</v>
      </c>
      <c r="F143" s="3" t="s">
        <v>5</v>
      </c>
      <c r="G143" s="3">
        <v>0</v>
      </c>
      <c r="H143" s="3" t="s">
        <v>56</v>
      </c>
      <c r="I143" s="3" t="s">
        <v>43</v>
      </c>
      <c r="J143" s="3">
        <v>22</v>
      </c>
      <c r="K143" s="4" t="s">
        <v>46</v>
      </c>
      <c r="L143" s="4">
        <v>0</v>
      </c>
      <c r="M143" s="4"/>
      <c r="O143" s="3">
        <f t="shared" si="2"/>
        <v>0</v>
      </c>
      <c r="P143" s="3">
        <v>0.18</v>
      </c>
      <c r="Q143" t="b">
        <v>1</v>
      </c>
      <c r="R143" s="3" t="s">
        <v>51</v>
      </c>
      <c r="S143" s="3" t="s">
        <v>31</v>
      </c>
    </row>
    <row r="144" spans="1:19" s="3" customFormat="1" x14ac:dyDescent="0.3">
      <c r="A144" s="3" t="s">
        <v>9</v>
      </c>
      <c r="B144" s="3" t="s">
        <v>33</v>
      </c>
      <c r="C144" s="3">
        <v>2008</v>
      </c>
      <c r="E144" s="3" t="s">
        <v>4</v>
      </c>
      <c r="F144" s="3" t="s">
        <v>5</v>
      </c>
      <c r="G144" s="3">
        <v>0</v>
      </c>
      <c r="H144" s="3" t="s">
        <v>56</v>
      </c>
      <c r="I144" s="3" t="s">
        <v>43</v>
      </c>
      <c r="J144" s="3">
        <v>22</v>
      </c>
      <c r="K144" s="4" t="s">
        <v>47</v>
      </c>
      <c r="L144" s="4">
        <v>0</v>
      </c>
      <c r="M144" s="4"/>
      <c r="O144" s="3">
        <f t="shared" si="2"/>
        <v>0</v>
      </c>
      <c r="P144" s="3">
        <v>0.23</v>
      </c>
      <c r="Q144" t="b">
        <v>1</v>
      </c>
      <c r="R144" s="3" t="s">
        <v>51</v>
      </c>
      <c r="S144" s="3" t="s">
        <v>31</v>
      </c>
    </row>
    <row r="145" spans="1:19" s="3" customFormat="1" x14ac:dyDescent="0.3">
      <c r="A145" s="3" t="s">
        <v>9</v>
      </c>
      <c r="B145" s="3" t="s">
        <v>33</v>
      </c>
      <c r="C145" s="3">
        <v>2008</v>
      </c>
      <c r="E145" s="3" t="s">
        <v>4</v>
      </c>
      <c r="F145" s="3" t="s">
        <v>5</v>
      </c>
      <c r="G145" s="3">
        <v>0</v>
      </c>
      <c r="H145" s="3" t="s">
        <v>56</v>
      </c>
      <c r="I145" s="3" t="s">
        <v>43</v>
      </c>
      <c r="J145" s="3">
        <v>22</v>
      </c>
      <c r="K145" s="4" t="s">
        <v>48</v>
      </c>
      <c r="L145" s="4">
        <v>0</v>
      </c>
      <c r="M145" s="4"/>
      <c r="O145" s="3">
        <f t="shared" si="2"/>
        <v>0</v>
      </c>
      <c r="P145" s="3">
        <v>0.4</v>
      </c>
      <c r="Q145" t="b">
        <v>1</v>
      </c>
      <c r="R145" s="3" t="s">
        <v>51</v>
      </c>
      <c r="S145" s="3" t="s">
        <v>31</v>
      </c>
    </row>
    <row r="146" spans="1:19" s="3" customFormat="1" x14ac:dyDescent="0.3">
      <c r="A146" s="3" t="s">
        <v>9</v>
      </c>
      <c r="B146" s="3" t="s">
        <v>33</v>
      </c>
      <c r="C146" s="3">
        <v>2008</v>
      </c>
      <c r="E146" s="3" t="s">
        <v>4</v>
      </c>
      <c r="F146" s="3" t="s">
        <v>5</v>
      </c>
      <c r="G146" s="3">
        <v>0</v>
      </c>
      <c r="H146" s="3" t="s">
        <v>56</v>
      </c>
      <c r="I146" s="3" t="s">
        <v>44</v>
      </c>
      <c r="J146" s="3">
        <v>145</v>
      </c>
      <c r="K146" s="4">
        <v>0</v>
      </c>
      <c r="L146" s="4">
        <v>0</v>
      </c>
      <c r="M146" s="4"/>
      <c r="O146" s="3">
        <f t="shared" si="2"/>
        <v>0</v>
      </c>
      <c r="P146" s="3">
        <v>0</v>
      </c>
      <c r="Q146" t="b">
        <v>1</v>
      </c>
      <c r="R146" s="3" t="s">
        <v>51</v>
      </c>
      <c r="S146" s="3" t="s">
        <v>31</v>
      </c>
    </row>
    <row r="147" spans="1:19" s="3" customFormat="1" x14ac:dyDescent="0.3">
      <c r="A147" s="3" t="s">
        <v>9</v>
      </c>
      <c r="B147" s="3" t="s">
        <v>33</v>
      </c>
      <c r="C147" s="3">
        <v>2008</v>
      </c>
      <c r="E147" s="3" t="s">
        <v>4</v>
      </c>
      <c r="F147" s="3" t="s">
        <v>5</v>
      </c>
      <c r="G147" s="3">
        <v>0</v>
      </c>
      <c r="H147" s="3" t="s">
        <v>56</v>
      </c>
      <c r="I147" s="3" t="s">
        <v>44</v>
      </c>
      <c r="J147" s="3">
        <v>145</v>
      </c>
      <c r="K147" s="4" t="s">
        <v>34</v>
      </c>
      <c r="L147" s="4">
        <v>2</v>
      </c>
      <c r="M147" s="4"/>
      <c r="O147" s="3">
        <f t="shared" si="2"/>
        <v>2</v>
      </c>
      <c r="P147" s="3">
        <v>2.5000000000000001E-3</v>
      </c>
      <c r="Q147" t="b">
        <v>1</v>
      </c>
      <c r="R147" s="3" t="s">
        <v>51</v>
      </c>
      <c r="S147" s="3" t="s">
        <v>31</v>
      </c>
    </row>
    <row r="148" spans="1:19" s="3" customFormat="1" x14ac:dyDescent="0.3">
      <c r="A148" s="3" t="s">
        <v>9</v>
      </c>
      <c r="B148" s="3" t="s">
        <v>33</v>
      </c>
      <c r="C148" s="3">
        <v>2008</v>
      </c>
      <c r="E148" s="3" t="s">
        <v>4</v>
      </c>
      <c r="F148" s="3" t="s">
        <v>5</v>
      </c>
      <c r="G148" s="3">
        <v>0</v>
      </c>
      <c r="H148" s="3" t="s">
        <v>56</v>
      </c>
      <c r="I148" s="3" t="s">
        <v>44</v>
      </c>
      <c r="J148" s="3">
        <v>145</v>
      </c>
      <c r="K148" s="4" t="s">
        <v>35</v>
      </c>
      <c r="L148" s="4">
        <v>5</v>
      </c>
      <c r="M148" s="4"/>
      <c r="O148" s="3">
        <f t="shared" si="2"/>
        <v>5</v>
      </c>
      <c r="P148" s="3">
        <v>7.4999999999999997E-3</v>
      </c>
      <c r="Q148" t="b">
        <v>1</v>
      </c>
      <c r="R148" s="3" t="s">
        <v>51</v>
      </c>
      <c r="S148" s="3" t="s">
        <v>31</v>
      </c>
    </row>
    <row r="149" spans="1:19" s="3" customFormat="1" x14ac:dyDescent="0.3">
      <c r="A149" s="3" t="s">
        <v>9</v>
      </c>
      <c r="B149" s="3" t="s">
        <v>33</v>
      </c>
      <c r="C149" s="3">
        <v>2008</v>
      </c>
      <c r="E149" s="3" t="s">
        <v>4</v>
      </c>
      <c r="F149" s="3" t="s">
        <v>5</v>
      </c>
      <c r="G149" s="3">
        <v>0</v>
      </c>
      <c r="H149" s="3" t="s">
        <v>56</v>
      </c>
      <c r="I149" s="3" t="s">
        <v>44</v>
      </c>
      <c r="J149" s="3">
        <v>145</v>
      </c>
      <c r="K149" s="4" t="s">
        <v>36</v>
      </c>
      <c r="L149" s="4">
        <v>16</v>
      </c>
      <c r="M149" s="4"/>
      <c r="O149" s="3">
        <f t="shared" si="2"/>
        <v>16</v>
      </c>
      <c r="P149" s="3">
        <v>0.02</v>
      </c>
      <c r="Q149" t="b">
        <v>1</v>
      </c>
      <c r="R149" s="3" t="s">
        <v>51</v>
      </c>
      <c r="S149" s="3" t="s">
        <v>31</v>
      </c>
    </row>
    <row r="150" spans="1:19" s="3" customFormat="1" x14ac:dyDescent="0.3">
      <c r="A150" s="3" t="s">
        <v>9</v>
      </c>
      <c r="B150" s="3" t="s">
        <v>33</v>
      </c>
      <c r="C150" s="3">
        <v>2008</v>
      </c>
      <c r="E150" s="3" t="s">
        <v>4</v>
      </c>
      <c r="F150" s="3" t="s">
        <v>5</v>
      </c>
      <c r="G150" s="3">
        <v>0</v>
      </c>
      <c r="H150" s="3" t="s">
        <v>56</v>
      </c>
      <c r="I150" s="3" t="s">
        <v>44</v>
      </c>
      <c r="J150" s="3">
        <v>145</v>
      </c>
      <c r="K150" s="4" t="s">
        <v>37</v>
      </c>
      <c r="L150" s="4">
        <v>30</v>
      </c>
      <c r="M150" s="4"/>
      <c r="O150" s="3">
        <f t="shared" si="2"/>
        <v>30</v>
      </c>
      <c r="P150" s="3">
        <v>4.4999999999999998E-2</v>
      </c>
      <c r="Q150" t="b">
        <v>1</v>
      </c>
      <c r="R150" s="3" t="s">
        <v>51</v>
      </c>
      <c r="S150" s="3" t="s">
        <v>31</v>
      </c>
    </row>
    <row r="151" spans="1:19" s="3" customFormat="1" x14ac:dyDescent="0.3">
      <c r="A151" s="3" t="s">
        <v>9</v>
      </c>
      <c r="B151" s="3" t="s">
        <v>33</v>
      </c>
      <c r="C151" s="3">
        <v>2008</v>
      </c>
      <c r="E151" s="3" t="s">
        <v>4</v>
      </c>
      <c r="F151" s="3" t="s">
        <v>5</v>
      </c>
      <c r="G151" s="3">
        <v>0</v>
      </c>
      <c r="H151" s="3" t="s">
        <v>56</v>
      </c>
      <c r="I151" s="3" t="s">
        <v>44</v>
      </c>
      <c r="J151" s="3">
        <v>145</v>
      </c>
      <c r="K151" s="4" t="s">
        <v>38</v>
      </c>
      <c r="L151" s="4">
        <v>26</v>
      </c>
      <c r="M151" s="4"/>
      <c r="O151" s="3">
        <f t="shared" si="2"/>
        <v>26</v>
      </c>
      <c r="P151" s="3">
        <v>0.08</v>
      </c>
      <c r="Q151" t="b">
        <v>1</v>
      </c>
      <c r="R151" s="3" t="s">
        <v>51</v>
      </c>
      <c r="S151" s="3" t="s">
        <v>31</v>
      </c>
    </row>
    <row r="152" spans="1:19" s="3" customFormat="1" x14ac:dyDescent="0.3">
      <c r="A152" s="3" t="s">
        <v>9</v>
      </c>
      <c r="B152" s="3" t="s">
        <v>33</v>
      </c>
      <c r="C152" s="3">
        <v>2008</v>
      </c>
      <c r="E152" s="3" t="s">
        <v>4</v>
      </c>
      <c r="F152" s="3" t="s">
        <v>5</v>
      </c>
      <c r="G152" s="3">
        <v>0</v>
      </c>
      <c r="H152" s="3" t="s">
        <v>56</v>
      </c>
      <c r="I152" s="3" t="s">
        <v>44</v>
      </c>
      <c r="J152" s="3">
        <v>145</v>
      </c>
      <c r="K152" s="4" t="s">
        <v>45</v>
      </c>
      <c r="L152" s="4">
        <v>24</v>
      </c>
      <c r="M152" s="4"/>
      <c r="O152" s="3">
        <f t="shared" si="2"/>
        <v>24</v>
      </c>
      <c r="P152" s="3">
        <v>0.13</v>
      </c>
      <c r="Q152" t="b">
        <v>1</v>
      </c>
      <c r="R152" s="3" t="s">
        <v>51</v>
      </c>
      <c r="S152" s="3" t="s">
        <v>31</v>
      </c>
    </row>
    <row r="153" spans="1:19" s="3" customFormat="1" x14ac:dyDescent="0.3">
      <c r="A153" s="3" t="s">
        <v>9</v>
      </c>
      <c r="B153" s="3" t="s">
        <v>33</v>
      </c>
      <c r="C153" s="3">
        <v>2008</v>
      </c>
      <c r="E153" s="3" t="s">
        <v>4</v>
      </c>
      <c r="F153" s="3" t="s">
        <v>5</v>
      </c>
      <c r="G153" s="3">
        <v>0</v>
      </c>
      <c r="H153" s="3" t="s">
        <v>56</v>
      </c>
      <c r="I153" s="3" t="s">
        <v>44</v>
      </c>
      <c r="J153" s="3">
        <v>145</v>
      </c>
      <c r="K153" s="4" t="s">
        <v>46</v>
      </c>
      <c r="L153" s="4">
        <v>15</v>
      </c>
      <c r="M153" s="4"/>
      <c r="O153" s="3">
        <f t="shared" si="2"/>
        <v>15</v>
      </c>
      <c r="P153" s="3">
        <v>0.18</v>
      </c>
      <c r="Q153" t="b">
        <v>1</v>
      </c>
      <c r="R153" s="3" t="s">
        <v>51</v>
      </c>
      <c r="S153" s="3" t="s">
        <v>31</v>
      </c>
    </row>
    <row r="154" spans="1:19" s="3" customFormat="1" x14ac:dyDescent="0.3">
      <c r="A154" s="3" t="s">
        <v>9</v>
      </c>
      <c r="B154" s="3" t="s">
        <v>33</v>
      </c>
      <c r="C154" s="3">
        <v>2008</v>
      </c>
      <c r="E154" s="3" t="s">
        <v>4</v>
      </c>
      <c r="F154" s="3" t="s">
        <v>5</v>
      </c>
      <c r="G154" s="3">
        <v>0</v>
      </c>
      <c r="H154" s="3" t="s">
        <v>56</v>
      </c>
      <c r="I154" s="3" t="s">
        <v>44</v>
      </c>
      <c r="J154" s="3">
        <v>145</v>
      </c>
      <c r="K154" s="4" t="s">
        <v>47</v>
      </c>
      <c r="L154" s="4">
        <v>14</v>
      </c>
      <c r="M154" s="4"/>
      <c r="O154" s="3">
        <f t="shared" si="2"/>
        <v>14</v>
      </c>
      <c r="P154" s="3">
        <v>0.23</v>
      </c>
      <c r="Q154" t="b">
        <v>1</v>
      </c>
      <c r="R154" s="3" t="s">
        <v>51</v>
      </c>
      <c r="S154" s="3" t="s">
        <v>31</v>
      </c>
    </row>
    <row r="155" spans="1:19" s="3" customFormat="1" x14ac:dyDescent="0.3">
      <c r="A155" s="3" t="s">
        <v>9</v>
      </c>
      <c r="B155" s="3" t="s">
        <v>33</v>
      </c>
      <c r="C155" s="3">
        <v>2008</v>
      </c>
      <c r="E155" s="3" t="s">
        <v>4</v>
      </c>
      <c r="F155" s="3" t="s">
        <v>5</v>
      </c>
      <c r="G155" s="3">
        <v>0</v>
      </c>
      <c r="H155" s="3" t="s">
        <v>56</v>
      </c>
      <c r="I155" s="3" t="s">
        <v>44</v>
      </c>
      <c r="J155" s="3">
        <v>145</v>
      </c>
      <c r="K155" s="4" t="s">
        <v>48</v>
      </c>
      <c r="L155" s="4">
        <v>13</v>
      </c>
      <c r="M155" s="4"/>
      <c r="O155" s="3">
        <f t="shared" si="2"/>
        <v>13</v>
      </c>
      <c r="P155" s="3">
        <v>0.4</v>
      </c>
      <c r="Q155" t="b">
        <v>1</v>
      </c>
      <c r="R155" s="3" t="s">
        <v>51</v>
      </c>
      <c r="S155" s="3" t="s">
        <v>31</v>
      </c>
    </row>
    <row r="156" spans="1:19" s="3" customFormat="1" x14ac:dyDescent="0.3">
      <c r="A156" s="3" t="s">
        <v>9</v>
      </c>
      <c r="B156" s="3" t="s">
        <v>33</v>
      </c>
      <c r="C156" s="3">
        <v>2008</v>
      </c>
      <c r="E156" s="3" t="s">
        <v>4</v>
      </c>
      <c r="F156" s="3" t="s">
        <v>5</v>
      </c>
      <c r="G156" s="3">
        <v>0</v>
      </c>
      <c r="H156" s="3" t="s">
        <v>56</v>
      </c>
      <c r="I156" s="3" t="s">
        <v>49</v>
      </c>
      <c r="J156" s="3">
        <v>106</v>
      </c>
      <c r="K156" s="4">
        <v>0</v>
      </c>
      <c r="L156" s="4">
        <v>0</v>
      </c>
      <c r="M156" s="4"/>
      <c r="O156" s="3">
        <f t="shared" si="2"/>
        <v>0</v>
      </c>
      <c r="P156" s="3">
        <v>0</v>
      </c>
      <c r="Q156" t="b">
        <v>1</v>
      </c>
      <c r="R156" s="3" t="s">
        <v>51</v>
      </c>
      <c r="S156" s="3" t="s">
        <v>31</v>
      </c>
    </row>
    <row r="157" spans="1:19" s="3" customFormat="1" x14ac:dyDescent="0.3">
      <c r="A157" s="3" t="s">
        <v>9</v>
      </c>
      <c r="B157" s="3" t="s">
        <v>33</v>
      </c>
      <c r="C157" s="3">
        <v>2008</v>
      </c>
      <c r="E157" s="3" t="s">
        <v>4</v>
      </c>
      <c r="F157" s="3" t="s">
        <v>5</v>
      </c>
      <c r="G157" s="3">
        <v>0</v>
      </c>
      <c r="H157" s="3" t="s">
        <v>56</v>
      </c>
      <c r="I157" s="3" t="s">
        <v>49</v>
      </c>
      <c r="J157" s="3">
        <v>106</v>
      </c>
      <c r="K157" s="4" t="s">
        <v>34</v>
      </c>
      <c r="L157" s="4">
        <v>10</v>
      </c>
      <c r="M157" s="4"/>
      <c r="O157" s="3">
        <f t="shared" si="2"/>
        <v>10</v>
      </c>
      <c r="P157" s="3">
        <v>2.5000000000000001E-3</v>
      </c>
      <c r="Q157" t="b">
        <v>1</v>
      </c>
      <c r="R157" s="3" t="s">
        <v>51</v>
      </c>
      <c r="S157" s="3" t="s">
        <v>31</v>
      </c>
    </row>
    <row r="158" spans="1:19" s="3" customFormat="1" x14ac:dyDescent="0.3">
      <c r="A158" s="3" t="s">
        <v>9</v>
      </c>
      <c r="B158" s="3" t="s">
        <v>33</v>
      </c>
      <c r="C158" s="3">
        <v>2008</v>
      </c>
      <c r="E158" s="3" t="s">
        <v>4</v>
      </c>
      <c r="F158" s="3" t="s">
        <v>5</v>
      </c>
      <c r="G158" s="3">
        <v>0</v>
      </c>
      <c r="H158" s="3" t="s">
        <v>56</v>
      </c>
      <c r="I158" s="3" t="s">
        <v>49</v>
      </c>
      <c r="J158" s="3">
        <v>106</v>
      </c>
      <c r="K158" s="4" t="s">
        <v>35</v>
      </c>
      <c r="L158" s="4">
        <v>7</v>
      </c>
      <c r="M158" s="4"/>
      <c r="O158" s="3">
        <f t="shared" si="2"/>
        <v>7</v>
      </c>
      <c r="P158" s="3">
        <v>7.4999999999999997E-3</v>
      </c>
      <c r="Q158" t="b">
        <v>1</v>
      </c>
      <c r="R158" s="3" t="s">
        <v>51</v>
      </c>
      <c r="S158" s="3" t="s">
        <v>31</v>
      </c>
    </row>
    <row r="159" spans="1:19" s="3" customFormat="1" x14ac:dyDescent="0.3">
      <c r="A159" s="3" t="s">
        <v>9</v>
      </c>
      <c r="B159" s="3" t="s">
        <v>33</v>
      </c>
      <c r="C159" s="3">
        <v>2008</v>
      </c>
      <c r="E159" s="3" t="s">
        <v>4</v>
      </c>
      <c r="F159" s="3" t="s">
        <v>5</v>
      </c>
      <c r="G159" s="3">
        <v>0</v>
      </c>
      <c r="H159" s="3" t="s">
        <v>56</v>
      </c>
      <c r="I159" s="3" t="s">
        <v>49</v>
      </c>
      <c r="J159" s="3">
        <v>106</v>
      </c>
      <c r="K159" s="4" t="s">
        <v>36</v>
      </c>
      <c r="L159" s="4">
        <v>39</v>
      </c>
      <c r="M159" s="4"/>
      <c r="O159" s="3">
        <f t="shared" si="2"/>
        <v>39</v>
      </c>
      <c r="P159" s="3">
        <v>0.02</v>
      </c>
      <c r="Q159" t="b">
        <v>1</v>
      </c>
      <c r="R159" s="3" t="s">
        <v>51</v>
      </c>
      <c r="S159" s="3" t="s">
        <v>31</v>
      </c>
    </row>
    <row r="160" spans="1:19" s="3" customFormat="1" x14ac:dyDescent="0.3">
      <c r="A160" s="3" t="s">
        <v>9</v>
      </c>
      <c r="B160" s="3" t="s">
        <v>33</v>
      </c>
      <c r="C160" s="3">
        <v>2008</v>
      </c>
      <c r="E160" s="3" t="s">
        <v>4</v>
      </c>
      <c r="F160" s="3" t="s">
        <v>5</v>
      </c>
      <c r="G160" s="3">
        <v>0</v>
      </c>
      <c r="H160" s="3" t="s">
        <v>56</v>
      </c>
      <c r="I160" s="3" t="s">
        <v>49</v>
      </c>
      <c r="J160" s="3">
        <v>106</v>
      </c>
      <c r="K160" s="4" t="s">
        <v>37</v>
      </c>
      <c r="L160" s="4">
        <v>21</v>
      </c>
      <c r="M160" s="4"/>
      <c r="O160" s="3">
        <f t="shared" si="2"/>
        <v>21</v>
      </c>
      <c r="P160" s="3">
        <v>4.4999999999999998E-2</v>
      </c>
      <c r="Q160" t="b">
        <v>1</v>
      </c>
      <c r="R160" s="3" t="s">
        <v>51</v>
      </c>
      <c r="S160" s="3" t="s">
        <v>31</v>
      </c>
    </row>
    <row r="161" spans="1:22" s="3" customFormat="1" x14ac:dyDescent="0.3">
      <c r="A161" s="3" t="s">
        <v>9</v>
      </c>
      <c r="B161" s="3" t="s">
        <v>33</v>
      </c>
      <c r="C161" s="3">
        <v>2008</v>
      </c>
      <c r="E161" s="3" t="s">
        <v>4</v>
      </c>
      <c r="F161" s="3" t="s">
        <v>5</v>
      </c>
      <c r="G161" s="3">
        <v>0</v>
      </c>
      <c r="H161" s="3" t="s">
        <v>56</v>
      </c>
      <c r="I161" s="3" t="s">
        <v>49</v>
      </c>
      <c r="J161" s="3">
        <v>106</v>
      </c>
      <c r="K161" s="4" t="s">
        <v>38</v>
      </c>
      <c r="L161" s="4">
        <v>15</v>
      </c>
      <c r="M161" s="4"/>
      <c r="O161" s="3">
        <f t="shared" si="2"/>
        <v>15</v>
      </c>
      <c r="P161" s="3">
        <v>0.08</v>
      </c>
      <c r="Q161" t="b">
        <v>1</v>
      </c>
      <c r="R161" s="3" t="s">
        <v>51</v>
      </c>
      <c r="S161" s="3" t="s">
        <v>31</v>
      </c>
    </row>
    <row r="162" spans="1:22" s="3" customFormat="1" x14ac:dyDescent="0.3">
      <c r="A162" s="3" t="s">
        <v>9</v>
      </c>
      <c r="B162" s="3" t="s">
        <v>33</v>
      </c>
      <c r="C162" s="3">
        <v>2008</v>
      </c>
      <c r="E162" s="3" t="s">
        <v>4</v>
      </c>
      <c r="F162" s="3" t="s">
        <v>5</v>
      </c>
      <c r="G162" s="3">
        <v>0</v>
      </c>
      <c r="H162" s="3" t="s">
        <v>56</v>
      </c>
      <c r="I162" s="3" t="s">
        <v>49</v>
      </c>
      <c r="J162" s="3">
        <v>106</v>
      </c>
      <c r="K162" s="4" t="s">
        <v>45</v>
      </c>
      <c r="L162" s="4">
        <v>7</v>
      </c>
      <c r="M162" s="4"/>
      <c r="O162" s="3">
        <f t="shared" si="2"/>
        <v>7</v>
      </c>
      <c r="P162" s="3">
        <v>0.13</v>
      </c>
      <c r="Q162" t="b">
        <v>1</v>
      </c>
      <c r="R162" s="3" t="s">
        <v>51</v>
      </c>
      <c r="S162" s="3" t="s">
        <v>31</v>
      </c>
    </row>
    <row r="163" spans="1:22" s="3" customFormat="1" x14ac:dyDescent="0.3">
      <c r="A163" s="3" t="s">
        <v>9</v>
      </c>
      <c r="B163" s="3" t="s">
        <v>33</v>
      </c>
      <c r="C163" s="3">
        <v>2008</v>
      </c>
      <c r="E163" s="3" t="s">
        <v>4</v>
      </c>
      <c r="F163" s="3" t="s">
        <v>5</v>
      </c>
      <c r="G163" s="3">
        <v>0</v>
      </c>
      <c r="H163" s="3" t="s">
        <v>56</v>
      </c>
      <c r="I163" s="3" t="s">
        <v>49</v>
      </c>
      <c r="J163" s="3">
        <v>106</v>
      </c>
      <c r="K163" s="4" t="s">
        <v>46</v>
      </c>
      <c r="L163" s="4">
        <v>6</v>
      </c>
      <c r="M163" s="4"/>
      <c r="O163" s="3">
        <f t="shared" si="2"/>
        <v>6</v>
      </c>
      <c r="P163" s="3">
        <v>0.18</v>
      </c>
      <c r="Q163" t="b">
        <v>1</v>
      </c>
      <c r="R163" s="3" t="s">
        <v>51</v>
      </c>
      <c r="S163" s="3" t="s">
        <v>31</v>
      </c>
    </row>
    <row r="164" spans="1:22" s="3" customFormat="1" x14ac:dyDescent="0.3">
      <c r="A164" s="3" t="s">
        <v>9</v>
      </c>
      <c r="B164" s="3" t="s">
        <v>33</v>
      </c>
      <c r="C164" s="3">
        <v>2008</v>
      </c>
      <c r="E164" s="3" t="s">
        <v>4</v>
      </c>
      <c r="F164" s="3" t="s">
        <v>5</v>
      </c>
      <c r="G164" s="3">
        <v>0</v>
      </c>
      <c r="H164" s="3" t="s">
        <v>56</v>
      </c>
      <c r="I164" s="3" t="s">
        <v>49</v>
      </c>
      <c r="J164" s="3">
        <v>106</v>
      </c>
      <c r="K164" s="4" t="s">
        <v>47</v>
      </c>
      <c r="L164" s="4">
        <v>0</v>
      </c>
      <c r="M164" s="4"/>
      <c r="O164" s="3">
        <f t="shared" si="2"/>
        <v>0</v>
      </c>
      <c r="P164" s="3">
        <v>0.23</v>
      </c>
      <c r="Q164" t="b">
        <v>1</v>
      </c>
      <c r="R164" s="3" t="s">
        <v>51</v>
      </c>
      <c r="S164" s="3" t="s">
        <v>31</v>
      </c>
    </row>
    <row r="165" spans="1:22" s="3" customFormat="1" x14ac:dyDescent="0.3">
      <c r="A165" s="3" t="s">
        <v>9</v>
      </c>
      <c r="B165" s="3" t="s">
        <v>33</v>
      </c>
      <c r="C165" s="3">
        <v>2008</v>
      </c>
      <c r="E165" s="3" t="s">
        <v>4</v>
      </c>
      <c r="F165" s="3" t="s">
        <v>5</v>
      </c>
      <c r="G165" s="3">
        <v>0</v>
      </c>
      <c r="H165" s="3" t="s">
        <v>56</v>
      </c>
      <c r="I165" s="3" t="s">
        <v>49</v>
      </c>
      <c r="J165" s="3">
        <v>106</v>
      </c>
      <c r="K165" s="4" t="s">
        <v>48</v>
      </c>
      <c r="L165" s="4">
        <v>1</v>
      </c>
      <c r="M165" s="4"/>
      <c r="O165" s="3">
        <f t="shared" si="2"/>
        <v>1</v>
      </c>
      <c r="P165" s="3">
        <v>0.4</v>
      </c>
      <c r="Q165" t="b">
        <v>1</v>
      </c>
      <c r="R165" s="3" t="s">
        <v>51</v>
      </c>
      <c r="S165" s="3" t="s">
        <v>31</v>
      </c>
    </row>
    <row r="166" spans="1:22" x14ac:dyDescent="0.3">
      <c r="A166" t="s">
        <v>10</v>
      </c>
      <c r="B166" t="s">
        <v>91</v>
      </c>
      <c r="C166">
        <v>2019</v>
      </c>
      <c r="D166" t="s">
        <v>95</v>
      </c>
      <c r="E166" t="s">
        <v>4</v>
      </c>
      <c r="F166" t="s">
        <v>5</v>
      </c>
      <c r="G166">
        <v>0</v>
      </c>
      <c r="H166" t="s">
        <v>94</v>
      </c>
      <c r="I166" t="s">
        <v>92</v>
      </c>
      <c r="J166">
        <v>2678</v>
      </c>
      <c r="M166">
        <v>8.1999999999999993</v>
      </c>
      <c r="O166" s="3">
        <f>J166*M166%</f>
        <v>219.59599999999998</v>
      </c>
      <c r="P166">
        <v>8.2000000000000003E-2</v>
      </c>
      <c r="Q166" t="b">
        <v>0</v>
      </c>
      <c r="R166" t="s">
        <v>86</v>
      </c>
      <c r="S166" t="s">
        <v>58</v>
      </c>
      <c r="U166" t="s">
        <v>96</v>
      </c>
    </row>
    <row r="167" spans="1:22" x14ac:dyDescent="0.3">
      <c r="A167" t="s">
        <v>10</v>
      </c>
      <c r="B167" t="s">
        <v>91</v>
      </c>
      <c r="C167">
        <v>2019</v>
      </c>
      <c r="D167" t="s">
        <v>95</v>
      </c>
      <c r="E167" t="s">
        <v>4</v>
      </c>
      <c r="F167" t="s">
        <v>5</v>
      </c>
      <c r="G167">
        <v>0</v>
      </c>
      <c r="H167" t="s">
        <v>94</v>
      </c>
      <c r="I167" t="s">
        <v>92</v>
      </c>
      <c r="J167">
        <v>2678</v>
      </c>
      <c r="M167">
        <v>8.8000000000000007</v>
      </c>
      <c r="O167" s="3">
        <f t="shared" ref="O167:O173" si="3">J167*M167%</f>
        <v>235.66400000000002</v>
      </c>
      <c r="P167">
        <v>8.7999999999999995E-2</v>
      </c>
      <c r="Q167" t="b">
        <v>0</v>
      </c>
      <c r="R167" t="s">
        <v>86</v>
      </c>
      <c r="S167" t="s">
        <v>58</v>
      </c>
      <c r="U167" t="s">
        <v>97</v>
      </c>
    </row>
    <row r="168" spans="1:22" x14ac:dyDescent="0.3">
      <c r="A168" t="s">
        <v>10</v>
      </c>
      <c r="B168" t="s">
        <v>91</v>
      </c>
      <c r="C168">
        <v>2019</v>
      </c>
      <c r="D168" t="s">
        <v>95</v>
      </c>
      <c r="E168" t="s">
        <v>4</v>
      </c>
      <c r="F168" t="s">
        <v>5</v>
      </c>
      <c r="G168">
        <v>0</v>
      </c>
      <c r="H168" t="s">
        <v>94</v>
      </c>
      <c r="I168" t="s">
        <v>92</v>
      </c>
      <c r="J168">
        <v>2678</v>
      </c>
      <c r="M168">
        <v>1.6</v>
      </c>
      <c r="O168" s="3">
        <f t="shared" si="3"/>
        <v>42.847999999999999</v>
      </c>
      <c r="P168">
        <v>1.6E-2</v>
      </c>
      <c r="Q168" t="b">
        <v>0</v>
      </c>
      <c r="R168" t="s">
        <v>86</v>
      </c>
      <c r="S168" t="s">
        <v>58</v>
      </c>
      <c r="U168" t="s">
        <v>98</v>
      </c>
    </row>
    <row r="169" spans="1:22" x14ac:dyDescent="0.3">
      <c r="A169" t="s">
        <v>10</v>
      </c>
      <c r="B169" t="s">
        <v>91</v>
      </c>
      <c r="C169">
        <v>2019</v>
      </c>
      <c r="D169" t="s">
        <v>95</v>
      </c>
      <c r="E169" t="s">
        <v>4</v>
      </c>
      <c r="F169" t="s">
        <v>5</v>
      </c>
      <c r="G169">
        <v>0</v>
      </c>
      <c r="H169" t="s">
        <v>94</v>
      </c>
      <c r="I169" t="s">
        <v>92</v>
      </c>
      <c r="J169">
        <v>2678</v>
      </c>
      <c r="M169">
        <v>2.2999999999999998</v>
      </c>
      <c r="O169" s="3">
        <f t="shared" si="3"/>
        <v>61.594000000000001</v>
      </c>
      <c r="P169">
        <v>2.3E-2</v>
      </c>
      <c r="Q169" t="b">
        <v>0</v>
      </c>
      <c r="R169" t="s">
        <v>86</v>
      </c>
      <c r="S169" t="s">
        <v>58</v>
      </c>
      <c r="U169" t="s">
        <v>99</v>
      </c>
    </row>
    <row r="170" spans="1:22" x14ac:dyDescent="0.3">
      <c r="A170" t="s">
        <v>10</v>
      </c>
      <c r="B170" t="s">
        <v>91</v>
      </c>
      <c r="C170">
        <v>2019</v>
      </c>
      <c r="D170" t="s">
        <v>95</v>
      </c>
      <c r="E170" t="s">
        <v>4</v>
      </c>
      <c r="F170" t="s">
        <v>5</v>
      </c>
      <c r="G170">
        <v>0</v>
      </c>
      <c r="H170" t="s">
        <v>94</v>
      </c>
      <c r="I170" t="s">
        <v>92</v>
      </c>
      <c r="J170">
        <v>2678</v>
      </c>
      <c r="M170">
        <v>2</v>
      </c>
      <c r="O170" s="3">
        <f t="shared" si="3"/>
        <v>53.56</v>
      </c>
      <c r="P170">
        <v>0.02</v>
      </c>
      <c r="Q170" t="b">
        <v>0</v>
      </c>
      <c r="R170" t="s">
        <v>86</v>
      </c>
      <c r="S170" t="s">
        <v>58</v>
      </c>
      <c r="U170" t="s">
        <v>100</v>
      </c>
    </row>
    <row r="171" spans="1:22" x14ac:dyDescent="0.3">
      <c r="A171" t="s">
        <v>10</v>
      </c>
      <c r="B171" t="s">
        <v>91</v>
      </c>
      <c r="C171">
        <v>2019</v>
      </c>
      <c r="D171" t="s">
        <v>95</v>
      </c>
      <c r="E171" t="s">
        <v>4</v>
      </c>
      <c r="F171" t="s">
        <v>5</v>
      </c>
      <c r="G171">
        <v>0</v>
      </c>
      <c r="H171" t="s">
        <v>94</v>
      </c>
      <c r="I171" t="s">
        <v>92</v>
      </c>
      <c r="J171">
        <v>2678</v>
      </c>
      <c r="M171">
        <v>2.2999999999999998</v>
      </c>
      <c r="O171" s="3">
        <f t="shared" si="3"/>
        <v>61.594000000000001</v>
      </c>
      <c r="P171">
        <v>2.3E-2</v>
      </c>
      <c r="Q171" t="b">
        <v>0</v>
      </c>
      <c r="R171" t="s">
        <v>86</v>
      </c>
      <c r="S171" t="s">
        <v>58</v>
      </c>
      <c r="U171" t="s">
        <v>101</v>
      </c>
    </row>
    <row r="172" spans="1:22" x14ac:dyDescent="0.3">
      <c r="A172" t="s">
        <v>10</v>
      </c>
      <c r="B172" t="s">
        <v>91</v>
      </c>
      <c r="C172">
        <v>2019</v>
      </c>
      <c r="D172" t="s">
        <v>95</v>
      </c>
      <c r="E172" t="s">
        <v>4</v>
      </c>
      <c r="F172" t="s">
        <v>5</v>
      </c>
      <c r="G172">
        <v>0</v>
      </c>
      <c r="H172" t="s">
        <v>94</v>
      </c>
      <c r="I172" t="s">
        <v>92</v>
      </c>
      <c r="J172">
        <v>2678</v>
      </c>
      <c r="M172">
        <v>4.0999999999999996</v>
      </c>
      <c r="O172" s="3">
        <f t="shared" si="3"/>
        <v>109.79799999999999</v>
      </c>
      <c r="P172">
        <v>4.1000000000000002E-2</v>
      </c>
      <c r="Q172" t="b">
        <v>0</v>
      </c>
      <c r="R172" t="s">
        <v>86</v>
      </c>
      <c r="S172" t="s">
        <v>58</v>
      </c>
      <c r="U172" t="s">
        <v>102</v>
      </c>
    </row>
    <row r="173" spans="1:22" x14ac:dyDescent="0.3">
      <c r="A173" t="s">
        <v>10</v>
      </c>
      <c r="B173" t="s">
        <v>91</v>
      </c>
      <c r="C173">
        <v>2019</v>
      </c>
      <c r="D173" t="s">
        <v>95</v>
      </c>
      <c r="E173" t="s">
        <v>4</v>
      </c>
      <c r="F173" t="s">
        <v>5</v>
      </c>
      <c r="G173">
        <v>0</v>
      </c>
      <c r="H173" t="s">
        <v>94</v>
      </c>
      <c r="I173" t="s">
        <v>92</v>
      </c>
      <c r="J173">
        <v>2678</v>
      </c>
      <c r="M173">
        <v>6.2</v>
      </c>
      <c r="O173" s="3">
        <f t="shared" si="3"/>
        <v>166.036</v>
      </c>
      <c r="P173">
        <v>6.2E-2</v>
      </c>
      <c r="Q173" t="b">
        <v>1</v>
      </c>
      <c r="R173" t="s">
        <v>86</v>
      </c>
      <c r="S173" t="s">
        <v>58</v>
      </c>
      <c r="U173" t="s">
        <v>103</v>
      </c>
      <c r="V173" t="s">
        <v>160</v>
      </c>
    </row>
    <row r="174" spans="1:22" s="3" customFormat="1" x14ac:dyDescent="0.3">
      <c r="A174" s="3" t="s">
        <v>11</v>
      </c>
      <c r="B174" s="3" t="s">
        <v>155</v>
      </c>
      <c r="C174" s="3">
        <v>1995</v>
      </c>
      <c r="D174" s="3">
        <v>1994</v>
      </c>
      <c r="E174" s="3" t="s">
        <v>4</v>
      </c>
      <c r="F174" s="3" t="s">
        <v>5</v>
      </c>
      <c r="G174" s="3">
        <v>0</v>
      </c>
      <c r="H174" s="3" t="s">
        <v>150</v>
      </c>
      <c r="J174" s="3">
        <v>219</v>
      </c>
      <c r="Q174" t="b">
        <v>0</v>
      </c>
      <c r="R174" s="3" t="s">
        <v>53</v>
      </c>
      <c r="S174" s="3" t="s">
        <v>58</v>
      </c>
      <c r="U174" s="3" t="s">
        <v>156</v>
      </c>
      <c r="V174" s="3" t="s">
        <v>163</v>
      </c>
    </row>
    <row r="175" spans="1:22" x14ac:dyDescent="0.3">
      <c r="A175" t="s">
        <v>171</v>
      </c>
      <c r="B175" t="s">
        <v>52</v>
      </c>
      <c r="C175">
        <v>2017</v>
      </c>
      <c r="D175" t="s">
        <v>59</v>
      </c>
      <c r="E175" t="s">
        <v>4</v>
      </c>
      <c r="F175" t="s">
        <v>5</v>
      </c>
      <c r="G175">
        <v>0</v>
      </c>
      <c r="H175" t="s">
        <v>57</v>
      </c>
      <c r="J175">
        <v>231</v>
      </c>
      <c r="L175" s="2"/>
      <c r="M175">
        <v>11.6</v>
      </c>
      <c r="N175">
        <v>29</v>
      </c>
      <c r="O175" s="3">
        <f>N175</f>
        <v>29</v>
      </c>
      <c r="P175">
        <v>0.11600000000000001</v>
      </c>
      <c r="Q175" t="b">
        <v>1</v>
      </c>
      <c r="R175" t="s">
        <v>53</v>
      </c>
      <c r="S175" t="s">
        <v>31</v>
      </c>
      <c r="T175" t="s">
        <v>60</v>
      </c>
    </row>
    <row r="176" spans="1:22" s="3" customFormat="1" x14ac:dyDescent="0.3">
      <c r="A176" s="3" t="s">
        <v>12</v>
      </c>
      <c r="B176" s="3" t="s">
        <v>157</v>
      </c>
      <c r="C176" s="3">
        <v>1987</v>
      </c>
      <c r="D176" s="3" t="s">
        <v>158</v>
      </c>
      <c r="E176" s="3" t="s">
        <v>4</v>
      </c>
      <c r="F176" s="3" t="s">
        <v>18</v>
      </c>
      <c r="G176" s="3">
        <v>0</v>
      </c>
      <c r="H176" s="3" t="s">
        <v>56</v>
      </c>
      <c r="J176" s="3">
        <v>350</v>
      </c>
      <c r="N176" s="3">
        <v>49</v>
      </c>
      <c r="O176" s="3">
        <f>N176</f>
        <v>49</v>
      </c>
      <c r="P176" s="3">
        <v>0.14000000000000001</v>
      </c>
      <c r="Q176" t="b">
        <v>1</v>
      </c>
      <c r="R176" s="3" t="s">
        <v>53</v>
      </c>
      <c r="S176" s="3" t="s">
        <v>58</v>
      </c>
    </row>
    <row r="177" spans="1:22" x14ac:dyDescent="0.3">
      <c r="A177" t="s">
        <v>13</v>
      </c>
      <c r="B177" t="s">
        <v>138</v>
      </c>
      <c r="C177">
        <v>1996</v>
      </c>
      <c r="D177" t="s">
        <v>139</v>
      </c>
      <c r="E177" t="s">
        <v>4</v>
      </c>
      <c r="F177" t="s">
        <v>18</v>
      </c>
      <c r="G177">
        <v>0</v>
      </c>
      <c r="H177" t="s">
        <v>140</v>
      </c>
      <c r="J177">
        <v>28</v>
      </c>
      <c r="N177">
        <v>6</v>
      </c>
      <c r="O177">
        <f>N177</f>
        <v>6</v>
      </c>
      <c r="P177">
        <v>0.21428571428571427</v>
      </c>
      <c r="Q177" t="b">
        <v>1</v>
      </c>
      <c r="R177" t="s">
        <v>53</v>
      </c>
      <c r="S177" t="s">
        <v>58</v>
      </c>
      <c r="U177" t="s">
        <v>24</v>
      </c>
    </row>
    <row r="178" spans="1:22" s="3" customFormat="1" x14ac:dyDescent="0.3">
      <c r="A178" s="3" t="s">
        <v>14</v>
      </c>
      <c r="B178" s="3" t="s">
        <v>146</v>
      </c>
      <c r="C178" s="3">
        <v>2026</v>
      </c>
      <c r="D178" s="3" t="s">
        <v>143</v>
      </c>
      <c r="E178" s="3" t="s">
        <v>4</v>
      </c>
      <c r="F178" s="3" t="s">
        <v>18</v>
      </c>
      <c r="G178" s="3">
        <v>0</v>
      </c>
      <c r="H178" s="3" t="s">
        <v>56</v>
      </c>
      <c r="J178" s="3">
        <v>3777</v>
      </c>
      <c r="M178" s="3">
        <v>13</v>
      </c>
      <c r="O178" s="3">
        <f>J178*M178%</f>
        <v>491.01</v>
      </c>
      <c r="P178" s="3">
        <v>0.13</v>
      </c>
      <c r="Q178" t="b">
        <v>1</v>
      </c>
      <c r="R178" s="3" t="s">
        <v>53</v>
      </c>
      <c r="S178" s="3" t="s">
        <v>58</v>
      </c>
      <c r="U178" s="3" t="s">
        <v>144</v>
      </c>
    </row>
    <row r="179" spans="1:22" x14ac:dyDescent="0.3">
      <c r="A179" t="s">
        <v>15</v>
      </c>
      <c r="B179" t="s">
        <v>145</v>
      </c>
      <c r="C179">
        <v>2026</v>
      </c>
      <c r="D179" t="s">
        <v>147</v>
      </c>
      <c r="E179" t="s">
        <v>4</v>
      </c>
      <c r="F179" t="s">
        <v>18</v>
      </c>
      <c r="G179">
        <v>0</v>
      </c>
      <c r="H179" t="s">
        <v>56</v>
      </c>
      <c r="J179">
        <v>254</v>
      </c>
      <c r="M179">
        <v>29</v>
      </c>
      <c r="O179">
        <f>J179*M179%</f>
        <v>73.66</v>
      </c>
      <c r="P179">
        <v>0.28999999999999998</v>
      </c>
      <c r="Q179" t="b">
        <v>1</v>
      </c>
      <c r="R179" t="s">
        <v>53</v>
      </c>
      <c r="S179" t="s">
        <v>58</v>
      </c>
      <c r="U179" t="s">
        <v>148</v>
      </c>
    </row>
    <row r="180" spans="1:22" s="3" customFormat="1" x14ac:dyDescent="0.3">
      <c r="A180" s="3" t="s">
        <v>16</v>
      </c>
      <c r="B180" s="3" t="s">
        <v>16</v>
      </c>
      <c r="C180" s="3">
        <v>1997</v>
      </c>
      <c r="E180" s="3" t="s">
        <v>4</v>
      </c>
      <c r="F180" s="3" t="s">
        <v>18</v>
      </c>
      <c r="G180" s="3">
        <v>0</v>
      </c>
      <c r="H180" s="3" t="s">
        <v>56</v>
      </c>
      <c r="M180" s="3">
        <v>1E-3</v>
      </c>
      <c r="P180" s="3">
        <f>M180/100</f>
        <v>1.0000000000000001E-5</v>
      </c>
      <c r="Q180" t="b">
        <v>0</v>
      </c>
      <c r="R180" s="3" t="s">
        <v>149</v>
      </c>
      <c r="S180" s="3" t="s">
        <v>58</v>
      </c>
      <c r="V180" s="3" t="s">
        <v>164</v>
      </c>
    </row>
    <row r="181" spans="1:22" x14ac:dyDescent="0.3">
      <c r="A181" t="s">
        <v>17</v>
      </c>
      <c r="C181">
        <v>1996</v>
      </c>
      <c r="E181" t="s">
        <v>4</v>
      </c>
      <c r="F181" t="s">
        <v>18</v>
      </c>
      <c r="G181">
        <v>0</v>
      </c>
      <c r="Q181" t="b">
        <v>0</v>
      </c>
      <c r="R181" t="s">
        <v>300</v>
      </c>
      <c r="U181" t="s">
        <v>165</v>
      </c>
    </row>
    <row r="182" spans="1:22" s="3" customFormat="1" x14ac:dyDescent="0.3">
      <c r="B182" s="3" t="s">
        <v>27</v>
      </c>
      <c r="C182" s="3">
        <v>2008</v>
      </c>
      <c r="E182" s="3" t="s">
        <v>28</v>
      </c>
      <c r="F182" s="3" t="s">
        <v>5</v>
      </c>
      <c r="G182" s="3">
        <v>0</v>
      </c>
      <c r="M182" s="3">
        <v>0.84</v>
      </c>
      <c r="P182" s="3">
        <f>M182/100</f>
        <v>8.3999999999999995E-3</v>
      </c>
      <c r="Q182" t="b">
        <v>0</v>
      </c>
      <c r="S182" s="3" t="s">
        <v>31</v>
      </c>
      <c r="T182" s="3" t="s">
        <v>32</v>
      </c>
    </row>
    <row r="183" spans="1:22" x14ac:dyDescent="0.3">
      <c r="B183" t="s">
        <v>61</v>
      </c>
      <c r="C183">
        <v>2018</v>
      </c>
      <c r="D183" t="s">
        <v>63</v>
      </c>
      <c r="E183" t="s">
        <v>28</v>
      </c>
      <c r="F183" t="s">
        <v>5</v>
      </c>
      <c r="G183">
        <v>0</v>
      </c>
      <c r="H183" t="s">
        <v>62</v>
      </c>
      <c r="J183">
        <v>160000</v>
      </c>
      <c r="M183">
        <v>6.0000000000000001E-3</v>
      </c>
      <c r="N183">
        <v>10</v>
      </c>
      <c r="O183">
        <f>N183</f>
        <v>10</v>
      </c>
      <c r="P183">
        <f>M183/100</f>
        <v>6.0000000000000002E-5</v>
      </c>
      <c r="Q183" t="b">
        <v>0</v>
      </c>
      <c r="R183" t="s">
        <v>149</v>
      </c>
      <c r="S183" t="s">
        <v>31</v>
      </c>
      <c r="T183" t="s">
        <v>64</v>
      </c>
      <c r="U183" t="s">
        <v>65</v>
      </c>
      <c r="V183" t="s">
        <v>164</v>
      </c>
    </row>
    <row r="184" spans="1:22" x14ac:dyDescent="0.3">
      <c r="B184" t="s">
        <v>61</v>
      </c>
      <c r="C184">
        <v>2018</v>
      </c>
      <c r="D184" t="s">
        <v>63</v>
      </c>
      <c r="E184" t="s">
        <v>28</v>
      </c>
      <c r="F184" t="s">
        <v>5</v>
      </c>
      <c r="G184">
        <v>0</v>
      </c>
      <c r="H184" t="s">
        <v>62</v>
      </c>
      <c r="J184">
        <v>160000</v>
      </c>
      <c r="M184">
        <v>1.2</v>
      </c>
      <c r="N184">
        <v>1946</v>
      </c>
      <c r="O184">
        <f t="shared" ref="O184:O186" si="4">N184</f>
        <v>1946</v>
      </c>
      <c r="P184">
        <f>M184/100</f>
        <v>1.2E-2</v>
      </c>
      <c r="Q184" t="b">
        <v>0</v>
      </c>
      <c r="R184" t="s">
        <v>149</v>
      </c>
      <c r="U184" t="s">
        <v>66</v>
      </c>
      <c r="V184" t="s">
        <v>164</v>
      </c>
    </row>
    <row r="185" spans="1:22" x14ac:dyDescent="0.3">
      <c r="B185" t="s">
        <v>61</v>
      </c>
      <c r="C185">
        <v>2018</v>
      </c>
      <c r="D185" t="s">
        <v>63</v>
      </c>
      <c r="E185" t="s">
        <v>28</v>
      </c>
      <c r="F185" t="s">
        <v>5</v>
      </c>
      <c r="G185">
        <v>0</v>
      </c>
      <c r="H185" t="s">
        <v>62</v>
      </c>
      <c r="J185">
        <v>160000</v>
      </c>
      <c r="M185">
        <v>9.4E-2</v>
      </c>
      <c r="N185">
        <v>1498</v>
      </c>
      <c r="O185">
        <f t="shared" si="4"/>
        <v>1498</v>
      </c>
      <c r="P185">
        <f>M185/100</f>
        <v>9.3999999999999997E-4</v>
      </c>
      <c r="Q185" t="b">
        <v>0</v>
      </c>
      <c r="R185" t="s">
        <v>149</v>
      </c>
      <c r="U185" t="s">
        <v>67</v>
      </c>
      <c r="V185" t="s">
        <v>164</v>
      </c>
    </row>
    <row r="186" spans="1:22" x14ac:dyDescent="0.3">
      <c r="B186" t="s">
        <v>61</v>
      </c>
      <c r="C186">
        <v>2018</v>
      </c>
      <c r="D186" t="s">
        <v>63</v>
      </c>
      <c r="E186" t="s">
        <v>28</v>
      </c>
      <c r="F186" t="s">
        <v>5</v>
      </c>
      <c r="G186">
        <v>0</v>
      </c>
      <c r="H186" t="s">
        <v>62</v>
      </c>
      <c r="J186">
        <v>160000</v>
      </c>
      <c r="M186">
        <v>0.26</v>
      </c>
      <c r="N186">
        <v>417</v>
      </c>
      <c r="O186">
        <f t="shared" si="4"/>
        <v>417</v>
      </c>
      <c r="P186">
        <f>M186/100</f>
        <v>2.5999999999999999E-3</v>
      </c>
      <c r="Q186" t="b">
        <v>0</v>
      </c>
      <c r="R186" t="s">
        <v>149</v>
      </c>
      <c r="U186" t="s">
        <v>68</v>
      </c>
      <c r="V186" t="s">
        <v>164</v>
      </c>
    </row>
    <row r="187" spans="1:22" s="3" customFormat="1" x14ac:dyDescent="0.3">
      <c r="B187" s="3" t="s">
        <v>69</v>
      </c>
      <c r="C187" s="3">
        <v>2012</v>
      </c>
      <c r="D187" s="3" t="s">
        <v>59</v>
      </c>
      <c r="E187" s="3" t="s">
        <v>28</v>
      </c>
      <c r="F187" s="3" t="s">
        <v>5</v>
      </c>
      <c r="G187" s="3">
        <v>0</v>
      </c>
      <c r="H187" s="3" t="s">
        <v>57</v>
      </c>
      <c r="J187" s="3">
        <v>715</v>
      </c>
      <c r="M187" s="3">
        <v>5</v>
      </c>
      <c r="N187" s="3">
        <v>38</v>
      </c>
      <c r="O187" s="3">
        <f>N187</f>
        <v>38</v>
      </c>
      <c r="P187" s="3">
        <f t="shared" ref="P187:P201" si="5">O187/J187</f>
        <v>5.3146853146853149E-2</v>
      </c>
      <c r="Q187" t="b">
        <v>0</v>
      </c>
      <c r="R187" s="3" t="s">
        <v>53</v>
      </c>
      <c r="S187" s="3" t="s">
        <v>31</v>
      </c>
      <c r="T187" s="3" t="s">
        <v>70</v>
      </c>
      <c r="U187" s="3" t="s">
        <v>71</v>
      </c>
      <c r="V187" s="3" t="s">
        <v>166</v>
      </c>
    </row>
    <row r="188" spans="1:22" s="3" customFormat="1" x14ac:dyDescent="0.3">
      <c r="B188" s="3" t="s">
        <v>69</v>
      </c>
      <c r="C188" s="3">
        <v>2012</v>
      </c>
      <c r="D188" s="3" t="s">
        <v>59</v>
      </c>
      <c r="E188" s="3" t="s">
        <v>28</v>
      </c>
      <c r="F188" s="3" t="s">
        <v>5</v>
      </c>
      <c r="G188" s="3">
        <v>0</v>
      </c>
      <c r="H188" s="3" t="s">
        <v>57</v>
      </c>
      <c r="J188" s="3">
        <v>715</v>
      </c>
      <c r="N188" s="3">
        <v>18</v>
      </c>
      <c r="O188" s="3">
        <f t="shared" ref="O188:O191" si="6">N188</f>
        <v>18</v>
      </c>
      <c r="P188" s="3">
        <f t="shared" si="5"/>
        <v>2.5174825174825177E-2</v>
      </c>
      <c r="Q188" t="b">
        <v>0</v>
      </c>
      <c r="R188" s="3" t="s">
        <v>53</v>
      </c>
      <c r="S188" s="3" t="s">
        <v>31</v>
      </c>
      <c r="T188" s="3" t="s">
        <v>70</v>
      </c>
      <c r="U188" s="3" t="s">
        <v>74</v>
      </c>
    </row>
    <row r="189" spans="1:22" s="3" customFormat="1" x14ac:dyDescent="0.3">
      <c r="B189" s="3" t="s">
        <v>69</v>
      </c>
      <c r="C189" s="3">
        <v>2012</v>
      </c>
      <c r="D189" s="3" t="s">
        <v>59</v>
      </c>
      <c r="E189" s="3" t="s">
        <v>28</v>
      </c>
      <c r="F189" s="3" t="s">
        <v>5</v>
      </c>
      <c r="G189" s="3">
        <v>0</v>
      </c>
      <c r="H189" s="3" t="s">
        <v>57</v>
      </c>
      <c r="J189" s="3">
        <v>422</v>
      </c>
      <c r="M189" s="3">
        <v>9</v>
      </c>
      <c r="N189" s="3">
        <v>40</v>
      </c>
      <c r="O189" s="3">
        <f t="shared" si="6"/>
        <v>40</v>
      </c>
      <c r="P189" s="3">
        <f t="shared" si="5"/>
        <v>9.4786729857819899E-2</v>
      </c>
      <c r="Q189" t="b">
        <v>0</v>
      </c>
      <c r="R189" s="3" t="s">
        <v>53</v>
      </c>
      <c r="S189" s="3" t="s">
        <v>31</v>
      </c>
      <c r="T189" s="3" t="s">
        <v>70</v>
      </c>
      <c r="U189" s="3" t="s">
        <v>72</v>
      </c>
    </row>
    <row r="190" spans="1:22" s="3" customFormat="1" x14ac:dyDescent="0.3">
      <c r="B190" s="3" t="s">
        <v>69</v>
      </c>
      <c r="C190" s="3">
        <v>2012</v>
      </c>
      <c r="D190" s="3" t="s">
        <v>59</v>
      </c>
      <c r="E190" s="3" t="s">
        <v>28</v>
      </c>
      <c r="F190" s="3" t="s">
        <v>5</v>
      </c>
      <c r="G190" s="3">
        <v>0</v>
      </c>
      <c r="H190" s="3" t="s">
        <v>57</v>
      </c>
      <c r="J190" s="3">
        <v>422</v>
      </c>
      <c r="N190" s="3">
        <v>7</v>
      </c>
      <c r="O190" s="3">
        <f t="shared" si="6"/>
        <v>7</v>
      </c>
      <c r="P190" s="3">
        <f t="shared" si="5"/>
        <v>1.6587677725118485E-2</v>
      </c>
      <c r="Q190" t="b">
        <v>0</v>
      </c>
      <c r="R190" s="3" t="s">
        <v>53</v>
      </c>
      <c r="S190" s="3" t="s">
        <v>31</v>
      </c>
      <c r="T190" s="3" t="s">
        <v>70</v>
      </c>
      <c r="U190" s="3" t="s">
        <v>73</v>
      </c>
    </row>
    <row r="191" spans="1:22" s="3" customFormat="1" x14ac:dyDescent="0.3">
      <c r="B191" s="3" t="s">
        <v>69</v>
      </c>
      <c r="C191" s="3">
        <v>2012</v>
      </c>
      <c r="D191" s="3" t="s">
        <v>59</v>
      </c>
      <c r="E191" s="3" t="s">
        <v>28</v>
      </c>
      <c r="F191" s="3" t="s">
        <v>5</v>
      </c>
      <c r="G191" s="3">
        <v>0</v>
      </c>
      <c r="H191" s="3" t="s">
        <v>57</v>
      </c>
      <c r="J191" s="3">
        <v>227</v>
      </c>
      <c r="M191" s="3">
        <v>15</v>
      </c>
      <c r="N191" s="3">
        <v>33</v>
      </c>
      <c r="O191" s="3">
        <f t="shared" si="6"/>
        <v>33</v>
      </c>
      <c r="P191" s="3">
        <f t="shared" si="5"/>
        <v>0.14537444933920704</v>
      </c>
      <c r="Q191" t="b">
        <v>0</v>
      </c>
      <c r="R191" s="3" t="s">
        <v>53</v>
      </c>
      <c r="S191" s="3" t="s">
        <v>31</v>
      </c>
      <c r="T191" s="3" t="s">
        <v>70</v>
      </c>
      <c r="U191" s="3" t="s">
        <v>75</v>
      </c>
    </row>
    <row r="192" spans="1:22" x14ac:dyDescent="0.3">
      <c r="B192" t="s">
        <v>76</v>
      </c>
      <c r="C192">
        <v>2007</v>
      </c>
      <c r="D192" t="s">
        <v>77</v>
      </c>
      <c r="E192" t="s">
        <v>28</v>
      </c>
      <c r="F192" t="s">
        <v>5</v>
      </c>
      <c r="G192">
        <v>0</v>
      </c>
      <c r="H192" t="s">
        <v>56</v>
      </c>
      <c r="J192">
        <v>5968</v>
      </c>
      <c r="M192">
        <v>0.23</v>
      </c>
      <c r="N192">
        <v>14</v>
      </c>
      <c r="O192">
        <f t="shared" ref="O192:O197" si="7">N192</f>
        <v>14</v>
      </c>
      <c r="P192">
        <f t="shared" si="5"/>
        <v>2.3458445040214475E-3</v>
      </c>
      <c r="Q192" t="b">
        <v>0</v>
      </c>
      <c r="R192" t="s">
        <v>53</v>
      </c>
      <c r="S192" t="s">
        <v>31</v>
      </c>
      <c r="T192" t="s">
        <v>78</v>
      </c>
      <c r="U192" t="s">
        <v>80</v>
      </c>
    </row>
    <row r="193" spans="2:22" x14ac:dyDescent="0.3">
      <c r="B193" t="s">
        <v>76</v>
      </c>
      <c r="C193">
        <v>2007</v>
      </c>
      <c r="D193" t="s">
        <v>79</v>
      </c>
      <c r="E193" t="s">
        <v>28</v>
      </c>
      <c r="F193" t="s">
        <v>5</v>
      </c>
      <c r="G193">
        <v>0</v>
      </c>
      <c r="H193" t="s">
        <v>56</v>
      </c>
      <c r="J193">
        <v>2235</v>
      </c>
      <c r="M193">
        <v>0.47</v>
      </c>
      <c r="N193">
        <v>10.5</v>
      </c>
      <c r="O193">
        <f t="shared" si="7"/>
        <v>10.5</v>
      </c>
      <c r="P193">
        <f t="shared" si="5"/>
        <v>4.6979865771812077E-3</v>
      </c>
      <c r="Q193" t="b">
        <v>0</v>
      </c>
      <c r="R193" t="s">
        <v>53</v>
      </c>
      <c r="S193" t="s">
        <v>31</v>
      </c>
      <c r="T193" t="s">
        <v>78</v>
      </c>
      <c r="U193" t="s">
        <v>81</v>
      </c>
    </row>
    <row r="194" spans="2:22" x14ac:dyDescent="0.3">
      <c r="B194" t="s">
        <v>76</v>
      </c>
      <c r="C194">
        <v>2007</v>
      </c>
      <c r="D194" t="s">
        <v>79</v>
      </c>
      <c r="E194" t="s">
        <v>28</v>
      </c>
      <c r="F194" t="s">
        <v>5</v>
      </c>
      <c r="G194">
        <v>0</v>
      </c>
      <c r="H194" t="s">
        <v>56</v>
      </c>
      <c r="J194">
        <v>479</v>
      </c>
      <c r="M194">
        <v>2.2000000000000002</v>
      </c>
      <c r="N194">
        <v>10.5</v>
      </c>
      <c r="O194">
        <f t="shared" si="7"/>
        <v>10.5</v>
      </c>
      <c r="P194">
        <f t="shared" si="5"/>
        <v>2.1920668058455117E-2</v>
      </c>
      <c r="Q194" t="b">
        <v>0</v>
      </c>
      <c r="R194" t="s">
        <v>53</v>
      </c>
      <c r="S194" t="s">
        <v>31</v>
      </c>
      <c r="T194" t="s">
        <v>78</v>
      </c>
      <c r="U194" t="s">
        <v>82</v>
      </c>
    </row>
    <row r="195" spans="2:22" x14ac:dyDescent="0.3">
      <c r="B195" t="s">
        <v>76</v>
      </c>
      <c r="C195">
        <v>2007</v>
      </c>
      <c r="D195" t="s">
        <v>79</v>
      </c>
      <c r="E195" t="s">
        <v>28</v>
      </c>
      <c r="F195" t="s">
        <v>5</v>
      </c>
      <c r="G195">
        <v>0</v>
      </c>
      <c r="H195" t="s">
        <v>56</v>
      </c>
      <c r="J195">
        <v>319</v>
      </c>
      <c r="M195">
        <v>3.3</v>
      </c>
      <c r="N195">
        <v>10.5</v>
      </c>
      <c r="O195">
        <f t="shared" si="7"/>
        <v>10.5</v>
      </c>
      <c r="P195">
        <f t="shared" si="5"/>
        <v>3.2915360501567396E-2</v>
      </c>
      <c r="Q195" t="b">
        <v>1</v>
      </c>
      <c r="R195" t="s">
        <v>53</v>
      </c>
      <c r="S195" t="s">
        <v>31</v>
      </c>
      <c r="T195" t="s">
        <v>78</v>
      </c>
      <c r="U195" t="s">
        <v>83</v>
      </c>
      <c r="V195" t="s">
        <v>167</v>
      </c>
    </row>
    <row r="196" spans="2:22" s="3" customFormat="1" x14ac:dyDescent="0.3">
      <c r="B196" s="3" t="s">
        <v>84</v>
      </c>
      <c r="C196" s="3">
        <v>2010</v>
      </c>
      <c r="E196" s="3" t="s">
        <v>28</v>
      </c>
      <c r="F196" s="3" t="s">
        <v>18</v>
      </c>
      <c r="G196" s="3">
        <v>0</v>
      </c>
      <c r="H196" s="3" t="s">
        <v>85</v>
      </c>
      <c r="I196" s="3" t="s">
        <v>93</v>
      </c>
      <c r="J196" s="3">
        <v>1249</v>
      </c>
      <c r="M196" s="3">
        <v>22</v>
      </c>
      <c r="N196" s="3">
        <v>274</v>
      </c>
      <c r="O196" s="3">
        <f t="shared" si="7"/>
        <v>274</v>
      </c>
      <c r="P196" s="3">
        <f t="shared" si="5"/>
        <v>0.21937550040032025</v>
      </c>
      <c r="Q196" t="b">
        <v>1</v>
      </c>
      <c r="R196" s="3" t="s">
        <v>86</v>
      </c>
      <c r="S196" s="3" t="s">
        <v>58</v>
      </c>
    </row>
    <row r="197" spans="2:22" x14ac:dyDescent="0.3">
      <c r="B197" t="s">
        <v>89</v>
      </c>
      <c r="C197">
        <v>2001</v>
      </c>
      <c r="D197">
        <v>2000</v>
      </c>
      <c r="E197" t="s">
        <v>28</v>
      </c>
      <c r="F197" t="s">
        <v>5</v>
      </c>
      <c r="G197">
        <v>0</v>
      </c>
      <c r="H197" t="s">
        <v>90</v>
      </c>
      <c r="I197" t="s">
        <v>92</v>
      </c>
      <c r="J197">
        <v>1282</v>
      </c>
      <c r="M197">
        <v>15.4</v>
      </c>
      <c r="N197">
        <v>197</v>
      </c>
      <c r="O197">
        <f t="shared" si="7"/>
        <v>197</v>
      </c>
      <c r="P197">
        <f t="shared" si="5"/>
        <v>0.15366614664586584</v>
      </c>
      <c r="Q197" t="b">
        <v>1</v>
      </c>
      <c r="R197" t="s">
        <v>86</v>
      </c>
      <c r="S197" t="s">
        <v>58</v>
      </c>
    </row>
    <row r="198" spans="2:22" s="3" customFormat="1" x14ac:dyDescent="0.3">
      <c r="B198" s="3" t="s">
        <v>104</v>
      </c>
      <c r="C198" s="3">
        <v>2007</v>
      </c>
      <c r="D198" s="3">
        <v>2000</v>
      </c>
      <c r="E198" s="3" t="s">
        <v>28</v>
      </c>
      <c r="F198" s="3" t="s">
        <v>18</v>
      </c>
      <c r="G198" s="3">
        <v>0</v>
      </c>
      <c r="H198" s="3" t="s">
        <v>105</v>
      </c>
      <c r="I198" s="3" t="s">
        <v>40</v>
      </c>
      <c r="J198" s="3">
        <v>631</v>
      </c>
      <c r="M198" s="3">
        <v>23.3</v>
      </c>
      <c r="O198" s="3">
        <f>J198*M198%</f>
        <v>147.023</v>
      </c>
      <c r="P198" s="3">
        <f t="shared" si="5"/>
        <v>0.23299999999999998</v>
      </c>
      <c r="Q198" t="b">
        <v>0</v>
      </c>
      <c r="R198" s="3" t="s">
        <v>51</v>
      </c>
      <c r="S198" s="3" t="s">
        <v>58</v>
      </c>
      <c r="U198" s="3" t="s">
        <v>106</v>
      </c>
      <c r="V198" s="3" t="s">
        <v>168</v>
      </c>
    </row>
    <row r="199" spans="2:22" s="3" customFormat="1" x14ac:dyDescent="0.3">
      <c r="B199" s="3" t="s">
        <v>104</v>
      </c>
      <c r="C199" s="3">
        <v>2007</v>
      </c>
      <c r="D199" s="3">
        <v>2000</v>
      </c>
      <c r="E199" s="3" t="s">
        <v>28</v>
      </c>
      <c r="F199" s="3" t="s">
        <v>18</v>
      </c>
      <c r="G199" s="3">
        <v>0</v>
      </c>
      <c r="H199" s="3" t="s">
        <v>105</v>
      </c>
      <c r="I199" s="3" t="s">
        <v>40</v>
      </c>
      <c r="J199" s="3">
        <v>631</v>
      </c>
      <c r="M199" s="3">
        <v>4.78</v>
      </c>
      <c r="O199" s="3">
        <f t="shared" ref="O199:O201" si="8">J199*M199%</f>
        <v>30.161800000000003</v>
      </c>
      <c r="P199" s="3">
        <f t="shared" si="5"/>
        <v>4.7800000000000002E-2</v>
      </c>
      <c r="Q199" t="b">
        <v>1</v>
      </c>
      <c r="R199" s="3" t="s">
        <v>51</v>
      </c>
      <c r="S199" s="3" t="s">
        <v>58</v>
      </c>
      <c r="U199" s="3" t="s">
        <v>107</v>
      </c>
    </row>
    <row r="200" spans="2:22" s="3" customFormat="1" x14ac:dyDescent="0.3">
      <c r="B200" s="3" t="s">
        <v>104</v>
      </c>
      <c r="C200" s="3">
        <v>2007</v>
      </c>
      <c r="D200" s="3">
        <v>2000</v>
      </c>
      <c r="E200" s="3" t="s">
        <v>28</v>
      </c>
      <c r="F200" s="3" t="s">
        <v>18</v>
      </c>
      <c r="G200" s="3">
        <v>0</v>
      </c>
      <c r="H200" s="3" t="s">
        <v>105</v>
      </c>
      <c r="I200" s="3" t="s">
        <v>40</v>
      </c>
      <c r="J200" s="3">
        <v>631</v>
      </c>
      <c r="M200" s="3">
        <v>3.8</v>
      </c>
      <c r="O200" s="3">
        <f t="shared" si="8"/>
        <v>23.977999999999998</v>
      </c>
      <c r="P200" s="3">
        <f t="shared" si="5"/>
        <v>3.7999999999999999E-2</v>
      </c>
      <c r="Q200" t="b">
        <v>0</v>
      </c>
      <c r="R200" s="3" t="s">
        <v>51</v>
      </c>
      <c r="S200" s="3" t="s">
        <v>58</v>
      </c>
      <c r="U200" s="3" t="s">
        <v>108</v>
      </c>
    </row>
    <row r="201" spans="2:22" s="3" customFormat="1" x14ac:dyDescent="0.3">
      <c r="B201" s="3" t="s">
        <v>104</v>
      </c>
      <c r="C201" s="3">
        <v>2007</v>
      </c>
      <c r="D201" s="3">
        <v>2000</v>
      </c>
      <c r="E201" s="3" t="s">
        <v>28</v>
      </c>
      <c r="F201" s="3" t="s">
        <v>18</v>
      </c>
      <c r="G201" s="3">
        <v>0</v>
      </c>
      <c r="H201" s="3" t="s">
        <v>105</v>
      </c>
      <c r="I201" s="3" t="s">
        <v>40</v>
      </c>
      <c r="J201" s="3">
        <v>631</v>
      </c>
      <c r="M201" s="3">
        <v>0.97</v>
      </c>
      <c r="O201" s="3">
        <f t="shared" si="8"/>
        <v>6.1207000000000003</v>
      </c>
      <c r="P201" s="3">
        <f t="shared" si="5"/>
        <v>9.7000000000000003E-3</v>
      </c>
      <c r="Q201" t="b">
        <v>0</v>
      </c>
      <c r="R201" s="3" t="s">
        <v>51</v>
      </c>
      <c r="S201" s="3" t="s">
        <v>58</v>
      </c>
      <c r="U201" s="3" t="s">
        <v>109</v>
      </c>
    </row>
    <row r="202" spans="2:22" x14ac:dyDescent="0.3">
      <c r="B202" t="s">
        <v>114</v>
      </c>
      <c r="C202">
        <v>2007</v>
      </c>
      <c r="E202" t="s">
        <v>28</v>
      </c>
      <c r="F202" t="s">
        <v>5</v>
      </c>
      <c r="G202">
        <v>0</v>
      </c>
      <c r="M202">
        <v>1</v>
      </c>
      <c r="P202">
        <f>M202/100</f>
        <v>0.01</v>
      </c>
      <c r="Q202" t="b">
        <v>0</v>
      </c>
      <c r="R202" t="s">
        <v>149</v>
      </c>
      <c r="S202" t="s">
        <v>58</v>
      </c>
      <c r="U202" t="s">
        <v>115</v>
      </c>
      <c r="V202" t="s">
        <v>164</v>
      </c>
    </row>
    <row r="203" spans="2:22" x14ac:dyDescent="0.3">
      <c r="B203" t="s">
        <v>114</v>
      </c>
      <c r="C203">
        <v>2008</v>
      </c>
      <c r="E203" t="s">
        <v>28</v>
      </c>
      <c r="F203" t="s">
        <v>5</v>
      </c>
      <c r="G203">
        <v>0</v>
      </c>
      <c r="M203">
        <v>1.95</v>
      </c>
      <c r="P203">
        <f>M203/100</f>
        <v>1.95E-2</v>
      </c>
      <c r="Q203" t="b">
        <v>0</v>
      </c>
      <c r="R203" t="s">
        <v>149</v>
      </c>
      <c r="S203" t="s">
        <v>58</v>
      </c>
      <c r="U203" t="s">
        <v>116</v>
      </c>
      <c r="V203" t="s">
        <v>164</v>
      </c>
    </row>
    <row r="204" spans="2:22" x14ac:dyDescent="0.3">
      <c r="B204" t="s">
        <v>114</v>
      </c>
      <c r="C204">
        <v>2009</v>
      </c>
      <c r="E204" t="s">
        <v>28</v>
      </c>
      <c r="F204" t="s">
        <v>5</v>
      </c>
      <c r="G204">
        <v>0</v>
      </c>
      <c r="M204">
        <v>3.3000000000000002E-2</v>
      </c>
      <c r="P204">
        <f>M204/100</f>
        <v>3.3E-4</v>
      </c>
      <c r="Q204" t="b">
        <v>0</v>
      </c>
      <c r="R204" t="s">
        <v>149</v>
      </c>
      <c r="S204" t="s">
        <v>58</v>
      </c>
      <c r="U204" t="s">
        <v>117</v>
      </c>
      <c r="V204" t="s">
        <v>164</v>
      </c>
    </row>
    <row r="205" spans="2:22" x14ac:dyDescent="0.3">
      <c r="B205" t="s">
        <v>114</v>
      </c>
      <c r="C205">
        <v>2010</v>
      </c>
      <c r="E205" t="s">
        <v>28</v>
      </c>
      <c r="F205" t="s">
        <v>5</v>
      </c>
      <c r="G205">
        <v>0</v>
      </c>
      <c r="M205">
        <v>1.6000000000000001E-3</v>
      </c>
      <c r="P205">
        <f>M205/100</f>
        <v>1.5999999999999999E-5</v>
      </c>
      <c r="Q205" t="b">
        <v>0</v>
      </c>
      <c r="R205" t="s">
        <v>149</v>
      </c>
      <c r="S205" t="s">
        <v>58</v>
      </c>
      <c r="U205" t="s">
        <v>116</v>
      </c>
      <c r="V205" t="s">
        <v>164</v>
      </c>
    </row>
    <row r="206" spans="2:22" s="3" customFormat="1" x14ac:dyDescent="0.3">
      <c r="B206" s="3" t="s">
        <v>120</v>
      </c>
      <c r="C206" s="3">
        <v>2008</v>
      </c>
      <c r="E206" s="3" t="s">
        <v>28</v>
      </c>
      <c r="F206" s="3" t="s">
        <v>18</v>
      </c>
      <c r="G206" s="3">
        <v>0</v>
      </c>
      <c r="H206" s="3" t="s">
        <v>118</v>
      </c>
      <c r="I206" s="3" t="s">
        <v>119</v>
      </c>
      <c r="J206" s="3">
        <v>114</v>
      </c>
      <c r="M206" s="3">
        <v>24.93</v>
      </c>
      <c r="O206" s="3">
        <f>J206*M206%</f>
        <v>28.420199999999998</v>
      </c>
      <c r="P206" s="3">
        <f>M206/100</f>
        <v>0.24929999999999999</v>
      </c>
      <c r="Q206" t="b">
        <v>1</v>
      </c>
      <c r="R206" s="3" t="s">
        <v>121</v>
      </c>
      <c r="S206" s="3" t="s">
        <v>58</v>
      </c>
      <c r="V206" s="3" t="s">
        <v>170</v>
      </c>
    </row>
    <row r="207" spans="2:22" x14ac:dyDescent="0.3">
      <c r="B207" t="s">
        <v>122</v>
      </c>
      <c r="C207">
        <v>2014</v>
      </c>
      <c r="D207" t="s">
        <v>123</v>
      </c>
      <c r="E207" t="s">
        <v>28</v>
      </c>
      <c r="F207" t="s">
        <v>5</v>
      </c>
      <c r="G207">
        <v>0</v>
      </c>
      <c r="H207" t="s">
        <v>56</v>
      </c>
      <c r="J207">
        <v>7482</v>
      </c>
      <c r="M207">
        <f>P207*100</f>
        <v>1.5637530072173216</v>
      </c>
      <c r="N207">
        <v>117</v>
      </c>
      <c r="O207">
        <f t="shared" ref="O207:O214" si="9">N207</f>
        <v>117</v>
      </c>
      <c r="P207">
        <f>N207/J207</f>
        <v>1.5637530072173216E-2</v>
      </c>
      <c r="Q207" t="b">
        <v>0</v>
      </c>
      <c r="R207" t="s">
        <v>53</v>
      </c>
      <c r="S207" t="s">
        <v>31</v>
      </c>
      <c r="T207" t="s">
        <v>124</v>
      </c>
      <c r="U207" t="s">
        <v>125</v>
      </c>
    </row>
    <row r="208" spans="2:22" x14ac:dyDescent="0.3">
      <c r="B208" t="s">
        <v>122</v>
      </c>
      <c r="C208">
        <v>2015</v>
      </c>
      <c r="D208" t="s">
        <v>123</v>
      </c>
      <c r="E208" t="s">
        <v>28</v>
      </c>
      <c r="F208" t="s">
        <v>5</v>
      </c>
      <c r="G208">
        <v>0</v>
      </c>
      <c r="H208" t="s">
        <v>56</v>
      </c>
      <c r="J208">
        <v>7482</v>
      </c>
      <c r="M208">
        <v>4.0999999999999996</v>
      </c>
      <c r="N208">
        <f>J208*M208%</f>
        <v>306.76199999999994</v>
      </c>
      <c r="O208">
        <f t="shared" si="9"/>
        <v>306.76199999999994</v>
      </c>
      <c r="P208">
        <f>M208/100</f>
        <v>4.0999999999999995E-2</v>
      </c>
      <c r="Q208" t="b">
        <v>0</v>
      </c>
      <c r="R208" t="s">
        <v>53</v>
      </c>
      <c r="S208" t="s">
        <v>31</v>
      </c>
      <c r="T208" t="s">
        <v>124</v>
      </c>
      <c r="U208" t="s">
        <v>126</v>
      </c>
      <c r="V208" t="s">
        <v>167</v>
      </c>
    </row>
    <row r="209" spans="2:22" s="3" customFormat="1" x14ac:dyDescent="0.3">
      <c r="B209" s="3" t="s">
        <v>127</v>
      </c>
      <c r="C209" s="3">
        <v>2008</v>
      </c>
      <c r="D209" s="3" t="s">
        <v>123</v>
      </c>
      <c r="E209" s="3" t="s">
        <v>28</v>
      </c>
      <c r="F209" s="3" t="s">
        <v>5</v>
      </c>
      <c r="G209" s="3">
        <v>0</v>
      </c>
      <c r="H209" s="3" t="s">
        <v>56</v>
      </c>
      <c r="J209" s="3">
        <v>7534</v>
      </c>
      <c r="M209" s="3">
        <f>P209*100</f>
        <v>1.4733209450491107</v>
      </c>
      <c r="N209" s="3">
        <v>111</v>
      </c>
      <c r="O209" s="3">
        <f t="shared" si="9"/>
        <v>111</v>
      </c>
      <c r="P209" s="3">
        <f>N209/J209</f>
        <v>1.4733209450491107E-2</v>
      </c>
      <c r="Q209" t="b">
        <v>0</v>
      </c>
      <c r="R209" s="3" t="s">
        <v>53</v>
      </c>
      <c r="S209" s="3" t="s">
        <v>31</v>
      </c>
      <c r="T209" s="3" t="s">
        <v>130</v>
      </c>
      <c r="U209" s="3" t="s">
        <v>125</v>
      </c>
    </row>
    <row r="210" spans="2:22" s="3" customFormat="1" x14ac:dyDescent="0.3">
      <c r="B210" s="3" t="s">
        <v>127</v>
      </c>
      <c r="C210" s="3">
        <v>2008</v>
      </c>
      <c r="D210" s="3" t="s">
        <v>123</v>
      </c>
      <c r="E210" s="3" t="s">
        <v>28</v>
      </c>
      <c r="F210" s="3" t="s">
        <v>5</v>
      </c>
      <c r="G210" s="3">
        <v>0</v>
      </c>
      <c r="H210" s="3" t="s">
        <v>56</v>
      </c>
      <c r="J210" s="3">
        <v>7534</v>
      </c>
      <c r="M210" s="3">
        <v>2.2999999999999998</v>
      </c>
      <c r="N210" s="3">
        <f>J210*M210%</f>
        <v>173.28200000000001</v>
      </c>
      <c r="O210" s="3">
        <f t="shared" si="9"/>
        <v>173.28200000000001</v>
      </c>
      <c r="P210" s="3">
        <f>M210/100</f>
        <v>2.3E-2</v>
      </c>
      <c r="Q210" t="b">
        <v>1</v>
      </c>
      <c r="R210" s="3" t="s">
        <v>53</v>
      </c>
      <c r="S210" s="3" t="s">
        <v>31</v>
      </c>
      <c r="T210" s="3" t="s">
        <v>130</v>
      </c>
      <c r="U210" s="3" t="s">
        <v>126</v>
      </c>
      <c r="V210" s="3" t="s">
        <v>167</v>
      </c>
    </row>
    <row r="211" spans="2:22" x14ac:dyDescent="0.3">
      <c r="B211" t="s">
        <v>131</v>
      </c>
      <c r="C211">
        <v>2010</v>
      </c>
      <c r="E211" t="s">
        <v>28</v>
      </c>
      <c r="F211" t="s">
        <v>18</v>
      </c>
      <c r="G211">
        <v>0</v>
      </c>
      <c r="H211" t="s">
        <v>133</v>
      </c>
      <c r="I211" t="s">
        <v>132</v>
      </c>
      <c r="J211">
        <v>461</v>
      </c>
      <c r="M211">
        <v>24.2</v>
      </c>
      <c r="N211">
        <f>J211*M211%</f>
        <v>111.562</v>
      </c>
      <c r="O211">
        <f t="shared" si="9"/>
        <v>111.562</v>
      </c>
      <c r="P211">
        <f>M211/100</f>
        <v>0.24199999999999999</v>
      </c>
      <c r="Q211" t="b">
        <v>0</v>
      </c>
      <c r="R211" t="s">
        <v>121</v>
      </c>
      <c r="S211" t="s">
        <v>58</v>
      </c>
      <c r="U211" t="s">
        <v>134</v>
      </c>
      <c r="V211" t="s">
        <v>169</v>
      </c>
    </row>
    <row r="212" spans="2:22" x14ac:dyDescent="0.3">
      <c r="B212" t="s">
        <v>131</v>
      </c>
      <c r="C212">
        <v>2011</v>
      </c>
      <c r="E212" t="s">
        <v>28</v>
      </c>
      <c r="F212" t="s">
        <v>18</v>
      </c>
      <c r="G212">
        <v>0</v>
      </c>
      <c r="H212" t="s">
        <v>133</v>
      </c>
      <c r="I212" t="s">
        <v>132</v>
      </c>
      <c r="J212">
        <v>461</v>
      </c>
      <c r="M212">
        <v>22.5</v>
      </c>
      <c r="N212">
        <f t="shared" ref="N212:N214" si="10">J212*M212%</f>
        <v>103.72500000000001</v>
      </c>
      <c r="O212">
        <f t="shared" si="9"/>
        <v>103.72500000000001</v>
      </c>
      <c r="P212">
        <f>M212/100</f>
        <v>0.22500000000000001</v>
      </c>
      <c r="Q212" t="b">
        <v>0</v>
      </c>
      <c r="R212" t="s">
        <v>121</v>
      </c>
      <c r="S212" t="s">
        <v>58</v>
      </c>
      <c r="U212" t="s">
        <v>135</v>
      </c>
    </row>
    <row r="213" spans="2:22" x14ac:dyDescent="0.3">
      <c r="B213" t="s">
        <v>131</v>
      </c>
      <c r="C213">
        <v>2012</v>
      </c>
      <c r="E213" t="s">
        <v>28</v>
      </c>
      <c r="F213" t="s">
        <v>18</v>
      </c>
      <c r="G213">
        <v>0</v>
      </c>
      <c r="H213" t="s">
        <v>133</v>
      </c>
      <c r="I213" t="s">
        <v>132</v>
      </c>
      <c r="J213">
        <v>461</v>
      </c>
      <c r="M213">
        <v>19.5</v>
      </c>
      <c r="N213">
        <f t="shared" si="10"/>
        <v>89.894999999999996</v>
      </c>
      <c r="O213">
        <f t="shared" si="9"/>
        <v>89.894999999999996</v>
      </c>
      <c r="P213">
        <f>M213/100</f>
        <v>0.19500000000000001</v>
      </c>
      <c r="Q213" t="b">
        <v>0</v>
      </c>
      <c r="R213" t="s">
        <v>121</v>
      </c>
      <c r="S213" t="s">
        <v>58</v>
      </c>
      <c r="U213" t="s">
        <v>136</v>
      </c>
    </row>
    <row r="214" spans="2:22" x14ac:dyDescent="0.3">
      <c r="B214" t="s">
        <v>131</v>
      </c>
      <c r="C214">
        <v>2013</v>
      </c>
      <c r="E214" t="s">
        <v>28</v>
      </c>
      <c r="F214" t="s">
        <v>18</v>
      </c>
      <c r="G214">
        <v>0</v>
      </c>
      <c r="H214" t="s">
        <v>133</v>
      </c>
      <c r="I214" t="s">
        <v>132</v>
      </c>
      <c r="J214">
        <v>461</v>
      </c>
      <c r="M214">
        <v>22.3</v>
      </c>
      <c r="N214">
        <f t="shared" si="10"/>
        <v>102.803</v>
      </c>
      <c r="O214">
        <f t="shared" si="9"/>
        <v>102.803</v>
      </c>
      <c r="P214">
        <f>M214/100</f>
        <v>0.223</v>
      </c>
      <c r="Q214" t="b">
        <v>0</v>
      </c>
      <c r="R214" t="s">
        <v>121</v>
      </c>
      <c r="S214" t="s">
        <v>58</v>
      </c>
      <c r="U214" t="s">
        <v>137</v>
      </c>
    </row>
    <row r="215" spans="2:22" s="3" customFormat="1" x14ac:dyDescent="0.3">
      <c r="B215" s="3" t="s">
        <v>153</v>
      </c>
      <c r="C215" s="3">
        <v>2018</v>
      </c>
      <c r="E215" s="3" t="s">
        <v>28</v>
      </c>
      <c r="F215" s="3" t="s">
        <v>5</v>
      </c>
      <c r="G215" s="3">
        <v>0</v>
      </c>
      <c r="H215" s="3" t="s">
        <v>56</v>
      </c>
      <c r="M215" s="9" t="s">
        <v>154</v>
      </c>
      <c r="P215" s="3">
        <f>((0.016 + 0.062)/2)/100</f>
        <v>3.8999999999999999E-4</v>
      </c>
      <c r="Q215" t="b">
        <v>0</v>
      </c>
      <c r="R215" s="3" t="s">
        <v>149</v>
      </c>
      <c r="S215" s="3" t="s">
        <v>58</v>
      </c>
      <c r="V215" s="3" t="s">
        <v>164</v>
      </c>
    </row>
    <row r="216" spans="2:22" x14ac:dyDescent="0.3">
      <c r="B216" t="s">
        <v>141</v>
      </c>
      <c r="C216">
        <v>2018</v>
      </c>
      <c r="D216" t="s">
        <v>63</v>
      </c>
      <c r="E216" t="s">
        <v>28</v>
      </c>
      <c r="F216" t="s">
        <v>5</v>
      </c>
      <c r="G216" s="3">
        <v>0</v>
      </c>
      <c r="H216" t="s">
        <v>62</v>
      </c>
      <c r="J216">
        <v>320000</v>
      </c>
      <c r="M216">
        <v>4.4999999999999998E-2</v>
      </c>
      <c r="P216">
        <f>M216/100</f>
        <v>4.4999999999999999E-4</v>
      </c>
      <c r="Q216" t="b">
        <v>0</v>
      </c>
      <c r="R216" t="s">
        <v>149</v>
      </c>
      <c r="S216" t="s">
        <v>31</v>
      </c>
      <c r="T216" t="s">
        <v>142</v>
      </c>
      <c r="V216" t="s">
        <v>164</v>
      </c>
    </row>
    <row r="217" spans="2:22" x14ac:dyDescent="0.3">
      <c r="B217" t="s">
        <v>141</v>
      </c>
      <c r="C217">
        <v>2018</v>
      </c>
      <c r="D217" t="s">
        <v>151</v>
      </c>
      <c r="E217" t="s">
        <v>28</v>
      </c>
      <c r="F217" t="s">
        <v>5</v>
      </c>
      <c r="G217" s="3">
        <v>0</v>
      </c>
      <c r="H217" t="s">
        <v>150</v>
      </c>
      <c r="M217" s="10" t="s">
        <v>152</v>
      </c>
      <c r="P217">
        <f>((0.017+0.066)/2)/100</f>
        <v>4.15E-4</v>
      </c>
      <c r="Q217" t="b">
        <v>0</v>
      </c>
      <c r="R217" t="s">
        <v>149</v>
      </c>
      <c r="S217" t="s">
        <v>58</v>
      </c>
      <c r="V217" t="s">
        <v>164</v>
      </c>
    </row>
    <row r="218" spans="2:22" s="3" customFormat="1" x14ac:dyDescent="0.3">
      <c r="B218" s="3" t="s">
        <v>172</v>
      </c>
      <c r="C218" s="3">
        <v>1994</v>
      </c>
      <c r="D218" s="3" t="s">
        <v>227</v>
      </c>
      <c r="E218" s="3" t="s">
        <v>28</v>
      </c>
      <c r="F218" s="3" t="s">
        <v>18</v>
      </c>
      <c r="G218" s="3">
        <v>1</v>
      </c>
      <c r="H218" s="3" t="s">
        <v>228</v>
      </c>
      <c r="I218" s="3" t="s">
        <v>92</v>
      </c>
      <c r="J218" s="3">
        <v>241</v>
      </c>
      <c r="N218" s="3">
        <v>27</v>
      </c>
      <c r="O218" s="3">
        <f t="shared" ref="O218:O232" si="11">N218</f>
        <v>27</v>
      </c>
      <c r="P218" s="3">
        <f t="shared" ref="P218:P252" si="12">O218/J218</f>
        <v>0.11203319502074689</v>
      </c>
      <c r="Q218" t="b">
        <v>1</v>
      </c>
      <c r="R218" s="3" t="s">
        <v>86</v>
      </c>
      <c r="S218" s="3" t="s">
        <v>58</v>
      </c>
    </row>
    <row r="219" spans="2:22" x14ac:dyDescent="0.3">
      <c r="B219" t="s">
        <v>173</v>
      </c>
      <c r="C219">
        <v>1996</v>
      </c>
      <c r="E219" t="s">
        <v>28</v>
      </c>
      <c r="F219" t="s">
        <v>18</v>
      </c>
      <c r="G219">
        <v>1</v>
      </c>
      <c r="H219" t="s">
        <v>228</v>
      </c>
      <c r="I219" t="s">
        <v>92</v>
      </c>
      <c r="J219">
        <v>509</v>
      </c>
      <c r="N219">
        <v>62</v>
      </c>
      <c r="O219">
        <f t="shared" si="11"/>
        <v>62</v>
      </c>
      <c r="P219">
        <f t="shared" si="12"/>
        <v>0.12180746561886051</v>
      </c>
      <c r="Q219" t="b">
        <v>1</v>
      </c>
      <c r="R219" t="s">
        <v>86</v>
      </c>
      <c r="S219" t="s">
        <v>58</v>
      </c>
      <c r="U219" t="s">
        <v>229</v>
      </c>
    </row>
    <row r="220" spans="2:22" s="3" customFormat="1" x14ac:dyDescent="0.3">
      <c r="B220" s="3" t="s">
        <v>174</v>
      </c>
      <c r="C220" s="3">
        <v>2004</v>
      </c>
      <c r="E220" s="3" t="s">
        <v>28</v>
      </c>
      <c r="F220" s="3" t="s">
        <v>18</v>
      </c>
      <c r="G220" s="3">
        <v>1</v>
      </c>
      <c r="H220" s="3" t="s">
        <v>228</v>
      </c>
      <c r="I220" s="3" t="s">
        <v>230</v>
      </c>
      <c r="J220" s="3">
        <v>1080</v>
      </c>
      <c r="N220" s="3">
        <v>112</v>
      </c>
      <c r="O220" s="3">
        <f t="shared" si="11"/>
        <v>112</v>
      </c>
      <c r="P220" s="3">
        <f t="shared" si="12"/>
        <v>0.1037037037037037</v>
      </c>
      <c r="Q220" t="b">
        <v>0</v>
      </c>
      <c r="R220" s="3" t="s">
        <v>121</v>
      </c>
      <c r="S220" s="3" t="s">
        <v>31</v>
      </c>
      <c r="T220" s="3" t="s">
        <v>232</v>
      </c>
      <c r="U220" s="3" t="s">
        <v>231</v>
      </c>
    </row>
    <row r="221" spans="2:22" s="3" customFormat="1" x14ac:dyDescent="0.3">
      <c r="B221" s="3" t="s">
        <v>174</v>
      </c>
      <c r="C221" s="3">
        <v>2004</v>
      </c>
      <c r="E221" s="3" t="s">
        <v>28</v>
      </c>
      <c r="F221" s="3" t="s">
        <v>18</v>
      </c>
      <c r="G221" s="3">
        <v>1</v>
      </c>
      <c r="H221" s="3" t="s">
        <v>228</v>
      </c>
      <c r="I221" s="3" t="s">
        <v>230</v>
      </c>
      <c r="J221" s="3">
        <v>1080</v>
      </c>
      <c r="N221" s="3">
        <v>10</v>
      </c>
      <c r="O221" s="3">
        <f t="shared" si="11"/>
        <v>10</v>
      </c>
      <c r="P221" s="3">
        <f t="shared" si="12"/>
        <v>9.2592592592592587E-3</v>
      </c>
      <c r="Q221" t="b">
        <v>0</v>
      </c>
      <c r="R221" s="3" t="s">
        <v>121</v>
      </c>
      <c r="S221" s="3" t="s">
        <v>31</v>
      </c>
      <c r="T221" s="3" t="s">
        <v>232</v>
      </c>
      <c r="U221" s="3" t="s">
        <v>233</v>
      </c>
    </row>
    <row r="222" spans="2:22" s="3" customFormat="1" x14ac:dyDescent="0.3">
      <c r="B222" s="3" t="s">
        <v>174</v>
      </c>
      <c r="C222" s="3">
        <v>2004</v>
      </c>
      <c r="E222" s="3" t="s">
        <v>28</v>
      </c>
      <c r="F222" s="3" t="s">
        <v>18</v>
      </c>
      <c r="G222" s="3">
        <v>1</v>
      </c>
      <c r="H222" s="3" t="s">
        <v>228</v>
      </c>
      <c r="I222" s="3" t="s">
        <v>230</v>
      </c>
      <c r="J222" s="3">
        <v>268</v>
      </c>
      <c r="N222" s="3">
        <v>10</v>
      </c>
      <c r="O222" s="3">
        <f t="shared" si="11"/>
        <v>10</v>
      </c>
      <c r="P222" s="3">
        <f t="shared" si="12"/>
        <v>3.7313432835820892E-2</v>
      </c>
      <c r="Q222" t="b">
        <v>1</v>
      </c>
      <c r="R222" s="3" t="s">
        <v>121</v>
      </c>
      <c r="S222" s="3" t="s">
        <v>31</v>
      </c>
      <c r="T222" s="3" t="s">
        <v>232</v>
      </c>
      <c r="U222" s="3" t="s">
        <v>234</v>
      </c>
      <c r="V222" s="3" t="s">
        <v>236</v>
      </c>
    </row>
    <row r="223" spans="2:22" s="3" customFormat="1" x14ac:dyDescent="0.3">
      <c r="B223" s="3" t="s">
        <v>174</v>
      </c>
      <c r="C223" s="3">
        <v>2004</v>
      </c>
      <c r="E223" s="3" t="s">
        <v>28</v>
      </c>
      <c r="F223" s="3" t="s">
        <v>18</v>
      </c>
      <c r="G223" s="3">
        <v>1</v>
      </c>
      <c r="H223" s="3" t="s">
        <v>228</v>
      </c>
      <c r="I223" s="3" t="s">
        <v>230</v>
      </c>
      <c r="J223" s="3">
        <v>154</v>
      </c>
      <c r="N223" s="3">
        <v>10</v>
      </c>
      <c r="O223" s="3">
        <f t="shared" si="11"/>
        <v>10</v>
      </c>
      <c r="P223" s="3">
        <f t="shared" si="12"/>
        <v>6.4935064935064929E-2</v>
      </c>
      <c r="Q223" t="b">
        <v>0</v>
      </c>
      <c r="R223" s="3" t="s">
        <v>121</v>
      </c>
      <c r="S223" s="3" t="s">
        <v>31</v>
      </c>
      <c r="T223" s="3" t="s">
        <v>232</v>
      </c>
      <c r="U223" s="3" t="s">
        <v>235</v>
      </c>
    </row>
    <row r="224" spans="2:22" x14ac:dyDescent="0.3">
      <c r="B224" t="s">
        <v>175</v>
      </c>
      <c r="C224">
        <v>2004</v>
      </c>
      <c r="E224" t="s">
        <v>28</v>
      </c>
      <c r="F224" t="s">
        <v>18</v>
      </c>
      <c r="G224">
        <v>1</v>
      </c>
      <c r="H224" t="s">
        <v>228</v>
      </c>
      <c r="I224" t="s">
        <v>230</v>
      </c>
      <c r="J224">
        <v>666</v>
      </c>
      <c r="N224">
        <v>41</v>
      </c>
      <c r="O224">
        <f t="shared" si="11"/>
        <v>41</v>
      </c>
      <c r="P224">
        <f t="shared" si="12"/>
        <v>6.1561561561561562E-2</v>
      </c>
      <c r="Q224" t="b">
        <v>0</v>
      </c>
      <c r="R224" t="s">
        <v>121</v>
      </c>
      <c r="S224" t="s">
        <v>31</v>
      </c>
      <c r="T224" t="s">
        <v>232</v>
      </c>
      <c r="U224" t="s">
        <v>231</v>
      </c>
    </row>
    <row r="225" spans="2:22" x14ac:dyDescent="0.3">
      <c r="B225" t="s">
        <v>175</v>
      </c>
      <c r="C225">
        <v>2004</v>
      </c>
      <c r="E225" t="s">
        <v>28</v>
      </c>
      <c r="F225" t="s">
        <v>18</v>
      </c>
      <c r="G225">
        <v>1</v>
      </c>
      <c r="H225" t="s">
        <v>228</v>
      </c>
      <c r="I225" t="s">
        <v>230</v>
      </c>
      <c r="J225">
        <v>666</v>
      </c>
      <c r="N225">
        <v>2</v>
      </c>
      <c r="O225">
        <f t="shared" si="11"/>
        <v>2</v>
      </c>
      <c r="P225">
        <f t="shared" si="12"/>
        <v>3.003003003003003E-3</v>
      </c>
      <c r="Q225" t="b">
        <v>0</v>
      </c>
      <c r="R225" t="s">
        <v>121</v>
      </c>
      <c r="S225" t="s">
        <v>31</v>
      </c>
      <c r="T225" t="s">
        <v>232</v>
      </c>
      <c r="U225" t="s">
        <v>233</v>
      </c>
    </row>
    <row r="226" spans="2:22" x14ac:dyDescent="0.3">
      <c r="B226" t="s">
        <v>175</v>
      </c>
      <c r="C226">
        <v>2004</v>
      </c>
      <c r="E226" t="s">
        <v>28</v>
      </c>
      <c r="F226" t="s">
        <v>18</v>
      </c>
      <c r="G226">
        <v>1</v>
      </c>
      <c r="H226" t="s">
        <v>228</v>
      </c>
      <c r="I226" t="s">
        <v>230</v>
      </c>
      <c r="J226">
        <v>165</v>
      </c>
      <c r="N226">
        <v>2</v>
      </c>
      <c r="O226">
        <f t="shared" si="11"/>
        <v>2</v>
      </c>
      <c r="P226">
        <f t="shared" si="12"/>
        <v>1.2121212121212121E-2</v>
      </c>
      <c r="Q226" t="b">
        <v>1</v>
      </c>
      <c r="R226" t="s">
        <v>121</v>
      </c>
      <c r="S226" t="s">
        <v>31</v>
      </c>
      <c r="T226" t="s">
        <v>232</v>
      </c>
      <c r="U226" t="s">
        <v>234</v>
      </c>
      <c r="V226" t="s">
        <v>236</v>
      </c>
    </row>
    <row r="227" spans="2:22" x14ac:dyDescent="0.3">
      <c r="B227" t="s">
        <v>175</v>
      </c>
      <c r="C227">
        <v>2004</v>
      </c>
      <c r="E227" t="s">
        <v>28</v>
      </c>
      <c r="F227" t="s">
        <v>18</v>
      </c>
      <c r="G227">
        <v>1</v>
      </c>
      <c r="H227" t="s">
        <v>228</v>
      </c>
      <c r="I227" t="s">
        <v>230</v>
      </c>
      <c r="J227">
        <v>88</v>
      </c>
      <c r="N227">
        <v>2</v>
      </c>
      <c r="O227">
        <f t="shared" si="11"/>
        <v>2</v>
      </c>
      <c r="P227">
        <f t="shared" si="12"/>
        <v>2.2727272727272728E-2</v>
      </c>
      <c r="Q227" t="b">
        <v>0</v>
      </c>
      <c r="R227" t="s">
        <v>121</v>
      </c>
      <c r="S227" t="s">
        <v>31</v>
      </c>
      <c r="T227" t="s">
        <v>232</v>
      </c>
      <c r="U227" t="s">
        <v>235</v>
      </c>
    </row>
    <row r="228" spans="2:22" s="3" customFormat="1" x14ac:dyDescent="0.3">
      <c r="B228" s="3" t="s">
        <v>176</v>
      </c>
      <c r="C228" s="3">
        <v>2006</v>
      </c>
      <c r="D228" s="3">
        <v>2004</v>
      </c>
      <c r="E228" s="3" t="s">
        <v>28</v>
      </c>
      <c r="F228" s="3" t="s">
        <v>18</v>
      </c>
      <c r="G228" s="3">
        <v>1</v>
      </c>
      <c r="H228" s="3" t="s">
        <v>228</v>
      </c>
      <c r="I228" s="3" t="s">
        <v>230</v>
      </c>
      <c r="J228" s="3">
        <v>10472</v>
      </c>
      <c r="N228" s="3">
        <v>137</v>
      </c>
      <c r="O228" s="3">
        <f t="shared" si="11"/>
        <v>137</v>
      </c>
      <c r="P228" s="3">
        <f t="shared" si="12"/>
        <v>1.3082505729564552E-2</v>
      </c>
      <c r="Q228" t="b">
        <v>0</v>
      </c>
      <c r="R228" s="3" t="s">
        <v>121</v>
      </c>
      <c r="S228" s="3" t="s">
        <v>58</v>
      </c>
      <c r="U228" s="3" t="s">
        <v>233</v>
      </c>
    </row>
    <row r="229" spans="2:22" s="3" customFormat="1" x14ac:dyDescent="0.3">
      <c r="B229" s="3" t="s">
        <v>176</v>
      </c>
      <c r="C229" s="3">
        <v>2006</v>
      </c>
      <c r="D229" s="3">
        <v>2004</v>
      </c>
      <c r="E229" s="3" t="s">
        <v>28</v>
      </c>
      <c r="F229" s="3" t="s">
        <v>18</v>
      </c>
      <c r="G229" s="3">
        <v>1</v>
      </c>
      <c r="H229" s="3" t="s">
        <v>228</v>
      </c>
      <c r="I229" s="3" t="s">
        <v>230</v>
      </c>
      <c r="J229" s="3">
        <v>1896</v>
      </c>
      <c r="N229" s="3">
        <v>137</v>
      </c>
      <c r="O229" s="3">
        <f t="shared" si="11"/>
        <v>137</v>
      </c>
      <c r="P229" s="3">
        <f t="shared" si="12"/>
        <v>7.2257383966244731E-2</v>
      </c>
      <c r="Q229" t="b">
        <v>1</v>
      </c>
      <c r="R229" s="3" t="s">
        <v>121</v>
      </c>
      <c r="S229" s="3" t="s">
        <v>58</v>
      </c>
      <c r="U229" s="3" t="s">
        <v>234</v>
      </c>
      <c r="V229" s="3" t="s">
        <v>236</v>
      </c>
    </row>
    <row r="230" spans="2:22" s="3" customFormat="1" x14ac:dyDescent="0.3">
      <c r="B230" s="3" t="s">
        <v>176</v>
      </c>
      <c r="C230" s="3">
        <v>2006</v>
      </c>
      <c r="D230" s="3">
        <v>2004</v>
      </c>
      <c r="E230" s="3" t="s">
        <v>28</v>
      </c>
      <c r="F230" s="3" t="s">
        <v>18</v>
      </c>
      <c r="G230" s="3">
        <v>1</v>
      </c>
      <c r="H230" s="3" t="s">
        <v>228</v>
      </c>
      <c r="I230" s="3" t="s">
        <v>230</v>
      </c>
      <c r="J230" s="3">
        <v>1135</v>
      </c>
      <c r="N230" s="3">
        <v>137</v>
      </c>
      <c r="O230" s="3">
        <f t="shared" si="11"/>
        <v>137</v>
      </c>
      <c r="P230" s="3">
        <f t="shared" si="12"/>
        <v>0.12070484581497798</v>
      </c>
      <c r="Q230" t="b">
        <v>0</v>
      </c>
      <c r="R230" s="3" t="s">
        <v>121</v>
      </c>
      <c r="S230" s="3" t="s">
        <v>58</v>
      </c>
      <c r="U230" s="3" t="s">
        <v>235</v>
      </c>
    </row>
    <row r="231" spans="2:22" x14ac:dyDescent="0.3">
      <c r="B231" t="s">
        <v>177</v>
      </c>
      <c r="C231">
        <v>2009</v>
      </c>
      <c r="D231">
        <v>2006</v>
      </c>
      <c r="E231" t="s">
        <v>28</v>
      </c>
      <c r="F231" t="s">
        <v>18</v>
      </c>
      <c r="G231">
        <v>1</v>
      </c>
      <c r="H231" t="s">
        <v>228</v>
      </c>
      <c r="I231" t="s">
        <v>230</v>
      </c>
      <c r="J231">
        <v>2023</v>
      </c>
      <c r="N231">
        <v>28</v>
      </c>
      <c r="O231">
        <f t="shared" si="11"/>
        <v>28</v>
      </c>
      <c r="P231">
        <f t="shared" si="12"/>
        <v>1.384083044982699E-2</v>
      </c>
      <c r="Q231" t="b">
        <v>0</v>
      </c>
      <c r="R231" t="s">
        <v>121</v>
      </c>
      <c r="S231" t="s">
        <v>58</v>
      </c>
      <c r="U231" t="s">
        <v>233</v>
      </c>
      <c r="V231" t="s">
        <v>243</v>
      </c>
    </row>
    <row r="232" spans="2:22" x14ac:dyDescent="0.3">
      <c r="B232" t="s">
        <v>177</v>
      </c>
      <c r="C232">
        <v>2009</v>
      </c>
      <c r="D232">
        <v>2006</v>
      </c>
      <c r="E232" t="s">
        <v>28</v>
      </c>
      <c r="F232" t="s">
        <v>18</v>
      </c>
      <c r="G232">
        <v>1</v>
      </c>
      <c r="H232" t="s">
        <v>228</v>
      </c>
      <c r="I232" t="s">
        <v>230</v>
      </c>
      <c r="J232">
        <v>231</v>
      </c>
      <c r="N232">
        <v>28</v>
      </c>
      <c r="O232">
        <f t="shared" si="11"/>
        <v>28</v>
      </c>
      <c r="P232">
        <f t="shared" si="12"/>
        <v>0.12121212121212122</v>
      </c>
      <c r="Q232" t="b">
        <v>1</v>
      </c>
      <c r="R232" t="s">
        <v>121</v>
      </c>
      <c r="S232" t="s">
        <v>58</v>
      </c>
      <c r="U232" t="s">
        <v>234</v>
      </c>
    </row>
    <row r="233" spans="2:22" x14ac:dyDescent="0.3">
      <c r="B233" t="s">
        <v>177</v>
      </c>
      <c r="C233">
        <v>2009</v>
      </c>
      <c r="D233">
        <v>2006</v>
      </c>
      <c r="E233" t="s">
        <v>28</v>
      </c>
      <c r="F233" t="s">
        <v>18</v>
      </c>
      <c r="G233">
        <v>1</v>
      </c>
      <c r="H233" t="s">
        <v>237</v>
      </c>
      <c r="I233" t="s">
        <v>230</v>
      </c>
      <c r="J233">
        <v>3636</v>
      </c>
      <c r="N233">
        <v>75</v>
      </c>
      <c r="O233">
        <f t="shared" ref="O233:O244" si="13">N233</f>
        <v>75</v>
      </c>
      <c r="P233">
        <f t="shared" si="12"/>
        <v>2.0627062706270627E-2</v>
      </c>
      <c r="Q233" t="b">
        <v>0</v>
      </c>
      <c r="R233" t="s">
        <v>121</v>
      </c>
      <c r="S233" t="s">
        <v>58</v>
      </c>
      <c r="U233" t="s">
        <v>233</v>
      </c>
    </row>
    <row r="234" spans="2:22" x14ac:dyDescent="0.3">
      <c r="B234" t="s">
        <v>177</v>
      </c>
      <c r="C234">
        <v>2009</v>
      </c>
      <c r="D234">
        <v>2006</v>
      </c>
      <c r="E234" t="s">
        <v>28</v>
      </c>
      <c r="F234" t="s">
        <v>18</v>
      </c>
      <c r="G234">
        <v>1</v>
      </c>
      <c r="H234" t="s">
        <v>237</v>
      </c>
      <c r="I234" t="s">
        <v>230</v>
      </c>
      <c r="J234">
        <v>482</v>
      </c>
      <c r="N234">
        <v>75</v>
      </c>
      <c r="O234">
        <f t="shared" si="13"/>
        <v>75</v>
      </c>
      <c r="P234">
        <f t="shared" si="12"/>
        <v>0.15560165975103735</v>
      </c>
      <c r="Q234" t="b">
        <v>1</v>
      </c>
      <c r="R234" t="s">
        <v>121</v>
      </c>
      <c r="S234" t="s">
        <v>58</v>
      </c>
      <c r="U234" t="s">
        <v>234</v>
      </c>
    </row>
    <row r="235" spans="2:22" x14ac:dyDescent="0.3">
      <c r="B235" t="s">
        <v>177</v>
      </c>
      <c r="C235">
        <v>2009</v>
      </c>
      <c r="D235">
        <v>2006</v>
      </c>
      <c r="E235" t="s">
        <v>28</v>
      </c>
      <c r="F235" t="s">
        <v>18</v>
      </c>
      <c r="G235">
        <v>1</v>
      </c>
      <c r="H235" t="s">
        <v>238</v>
      </c>
      <c r="I235" t="s">
        <v>230</v>
      </c>
      <c r="J235">
        <v>979</v>
      </c>
      <c r="N235">
        <v>11</v>
      </c>
      <c r="O235">
        <f t="shared" si="13"/>
        <v>11</v>
      </c>
      <c r="P235">
        <f t="shared" si="12"/>
        <v>1.1235955056179775E-2</v>
      </c>
      <c r="Q235" t="b">
        <v>0</v>
      </c>
      <c r="R235" t="s">
        <v>121</v>
      </c>
      <c r="S235" t="s">
        <v>58</v>
      </c>
      <c r="U235" t="s">
        <v>233</v>
      </c>
    </row>
    <row r="236" spans="2:22" x14ac:dyDescent="0.3">
      <c r="B236" t="s">
        <v>177</v>
      </c>
      <c r="C236">
        <v>2009</v>
      </c>
      <c r="D236">
        <v>2006</v>
      </c>
      <c r="E236" t="s">
        <v>28</v>
      </c>
      <c r="F236" t="s">
        <v>18</v>
      </c>
      <c r="G236">
        <v>1</v>
      </c>
      <c r="H236" t="s">
        <v>238</v>
      </c>
      <c r="I236" t="s">
        <v>230</v>
      </c>
      <c r="J236">
        <v>81</v>
      </c>
      <c r="N236">
        <v>11</v>
      </c>
      <c r="O236">
        <f t="shared" si="13"/>
        <v>11</v>
      </c>
      <c r="P236">
        <f t="shared" si="12"/>
        <v>0.13580246913580246</v>
      </c>
      <c r="Q236" t="b">
        <v>1</v>
      </c>
      <c r="R236" t="s">
        <v>121</v>
      </c>
      <c r="S236" t="s">
        <v>58</v>
      </c>
      <c r="U236" t="s">
        <v>234</v>
      </c>
    </row>
    <row r="237" spans="2:22" x14ac:dyDescent="0.3">
      <c r="B237" t="s">
        <v>177</v>
      </c>
      <c r="C237">
        <v>2009</v>
      </c>
      <c r="D237">
        <v>2006</v>
      </c>
      <c r="E237" t="s">
        <v>28</v>
      </c>
      <c r="F237" t="s">
        <v>18</v>
      </c>
      <c r="G237">
        <v>1</v>
      </c>
      <c r="H237" t="s">
        <v>239</v>
      </c>
      <c r="I237" t="s">
        <v>230</v>
      </c>
      <c r="J237">
        <v>2433</v>
      </c>
      <c r="N237">
        <v>32</v>
      </c>
      <c r="O237">
        <f t="shared" si="13"/>
        <v>32</v>
      </c>
      <c r="P237">
        <f t="shared" si="12"/>
        <v>1.3152486642005754E-2</v>
      </c>
      <c r="Q237" t="b">
        <v>0</v>
      </c>
      <c r="R237" t="s">
        <v>121</v>
      </c>
      <c r="S237" t="s">
        <v>58</v>
      </c>
      <c r="U237" t="s">
        <v>233</v>
      </c>
    </row>
    <row r="238" spans="2:22" x14ac:dyDescent="0.3">
      <c r="B238" t="s">
        <v>177</v>
      </c>
      <c r="C238">
        <v>2009</v>
      </c>
      <c r="D238">
        <v>2006</v>
      </c>
      <c r="E238" t="s">
        <v>28</v>
      </c>
      <c r="F238" t="s">
        <v>18</v>
      </c>
      <c r="G238">
        <v>1</v>
      </c>
      <c r="H238" t="s">
        <v>239</v>
      </c>
      <c r="I238" t="s">
        <v>230</v>
      </c>
      <c r="J238">
        <v>265</v>
      </c>
      <c r="N238">
        <v>32</v>
      </c>
      <c r="O238">
        <f t="shared" si="13"/>
        <v>32</v>
      </c>
      <c r="P238">
        <f t="shared" si="12"/>
        <v>0.12075471698113208</v>
      </c>
      <c r="Q238" t="b">
        <v>1</v>
      </c>
      <c r="R238" t="s">
        <v>121</v>
      </c>
      <c r="S238" t="s">
        <v>58</v>
      </c>
      <c r="U238" t="s">
        <v>234</v>
      </c>
    </row>
    <row r="239" spans="2:22" x14ac:dyDescent="0.3">
      <c r="B239" t="s">
        <v>177</v>
      </c>
      <c r="C239">
        <v>2009</v>
      </c>
      <c r="D239">
        <v>2006</v>
      </c>
      <c r="E239" t="s">
        <v>28</v>
      </c>
      <c r="F239" t="s">
        <v>18</v>
      </c>
      <c r="G239">
        <v>1</v>
      </c>
      <c r="H239" t="s">
        <v>240</v>
      </c>
      <c r="I239" t="s">
        <v>230</v>
      </c>
      <c r="J239">
        <v>7322</v>
      </c>
      <c r="N239">
        <v>116</v>
      </c>
      <c r="O239">
        <f t="shared" si="13"/>
        <v>116</v>
      </c>
      <c r="P239">
        <f t="shared" si="12"/>
        <v>1.5842665938268233E-2</v>
      </c>
      <c r="Q239" t="b">
        <v>0</v>
      </c>
      <c r="R239" t="s">
        <v>121</v>
      </c>
      <c r="S239" t="s">
        <v>58</v>
      </c>
      <c r="U239" t="s">
        <v>233</v>
      </c>
    </row>
    <row r="240" spans="2:22" x14ac:dyDescent="0.3">
      <c r="B240" t="s">
        <v>177</v>
      </c>
      <c r="C240">
        <v>2009</v>
      </c>
      <c r="D240">
        <v>2006</v>
      </c>
      <c r="E240" t="s">
        <v>28</v>
      </c>
      <c r="F240" t="s">
        <v>18</v>
      </c>
      <c r="G240">
        <v>1</v>
      </c>
      <c r="H240" t="s">
        <v>240</v>
      </c>
      <c r="I240" t="s">
        <v>230</v>
      </c>
      <c r="J240">
        <v>1067</v>
      </c>
      <c r="N240">
        <v>116</v>
      </c>
      <c r="O240">
        <f t="shared" si="13"/>
        <v>116</v>
      </c>
      <c r="P240">
        <f t="shared" si="12"/>
        <v>0.10871602624179943</v>
      </c>
      <c r="Q240" t="b">
        <v>1</v>
      </c>
      <c r="R240" t="s">
        <v>121</v>
      </c>
      <c r="S240" t="s">
        <v>58</v>
      </c>
      <c r="U240" t="s">
        <v>234</v>
      </c>
    </row>
    <row r="241" spans="2:22" x14ac:dyDescent="0.3">
      <c r="B241" t="s">
        <v>177</v>
      </c>
      <c r="C241">
        <v>2009</v>
      </c>
      <c r="D241">
        <v>2006</v>
      </c>
      <c r="E241" t="s">
        <v>28</v>
      </c>
      <c r="F241" t="s">
        <v>18</v>
      </c>
      <c r="G241">
        <v>1</v>
      </c>
      <c r="H241" t="s">
        <v>241</v>
      </c>
      <c r="I241" t="s">
        <v>230</v>
      </c>
      <c r="J241">
        <v>4942</v>
      </c>
      <c r="N241">
        <v>60</v>
      </c>
      <c r="O241">
        <f t="shared" si="13"/>
        <v>60</v>
      </c>
      <c r="P241">
        <f t="shared" si="12"/>
        <v>1.2140833670578713E-2</v>
      </c>
      <c r="Q241" t="b">
        <v>0</v>
      </c>
      <c r="R241" t="s">
        <v>121</v>
      </c>
      <c r="S241" t="s">
        <v>58</v>
      </c>
      <c r="U241" t="s">
        <v>233</v>
      </c>
    </row>
    <row r="242" spans="2:22" x14ac:dyDescent="0.3">
      <c r="B242" t="s">
        <v>177</v>
      </c>
      <c r="C242">
        <v>2009</v>
      </c>
      <c r="D242">
        <v>2006</v>
      </c>
      <c r="E242" t="s">
        <v>28</v>
      </c>
      <c r="F242" t="s">
        <v>18</v>
      </c>
      <c r="G242">
        <v>1</v>
      </c>
      <c r="H242" t="s">
        <v>241</v>
      </c>
      <c r="I242" t="s">
        <v>230</v>
      </c>
      <c r="J242">
        <v>315</v>
      </c>
      <c r="N242">
        <v>60</v>
      </c>
      <c r="O242">
        <f t="shared" si="13"/>
        <v>60</v>
      </c>
      <c r="P242">
        <f t="shared" si="12"/>
        <v>0.19047619047619047</v>
      </c>
      <c r="Q242" t="b">
        <v>1</v>
      </c>
      <c r="R242" t="s">
        <v>121</v>
      </c>
      <c r="S242" t="s">
        <v>58</v>
      </c>
      <c r="U242" t="s">
        <v>234</v>
      </c>
    </row>
    <row r="243" spans="2:22" x14ac:dyDescent="0.3">
      <c r="B243" t="s">
        <v>177</v>
      </c>
      <c r="C243">
        <v>2009</v>
      </c>
      <c r="D243">
        <v>2006</v>
      </c>
      <c r="E243" t="s">
        <v>28</v>
      </c>
      <c r="F243" t="s">
        <v>18</v>
      </c>
      <c r="G243">
        <v>1</v>
      </c>
      <c r="H243" t="s">
        <v>242</v>
      </c>
      <c r="I243" t="s">
        <v>230</v>
      </c>
      <c r="J243">
        <v>2436</v>
      </c>
      <c r="N243">
        <v>53</v>
      </c>
      <c r="O243">
        <f t="shared" si="13"/>
        <v>53</v>
      </c>
      <c r="P243">
        <f t="shared" si="12"/>
        <v>2.1756978653530379E-2</v>
      </c>
      <c r="Q243" t="b">
        <v>0</v>
      </c>
      <c r="R243" t="s">
        <v>121</v>
      </c>
      <c r="S243" t="s">
        <v>58</v>
      </c>
      <c r="U243" t="s">
        <v>233</v>
      </c>
    </row>
    <row r="244" spans="2:22" x14ac:dyDescent="0.3">
      <c r="B244" t="s">
        <v>177</v>
      </c>
      <c r="C244">
        <v>2009</v>
      </c>
      <c r="D244">
        <v>2006</v>
      </c>
      <c r="E244" t="s">
        <v>28</v>
      </c>
      <c r="F244" t="s">
        <v>18</v>
      </c>
      <c r="G244">
        <v>1</v>
      </c>
      <c r="H244" t="s">
        <v>242</v>
      </c>
      <c r="I244" t="s">
        <v>230</v>
      </c>
      <c r="J244">
        <v>285</v>
      </c>
      <c r="N244">
        <v>53</v>
      </c>
      <c r="O244">
        <f t="shared" si="13"/>
        <v>53</v>
      </c>
      <c r="P244">
        <f t="shared" si="12"/>
        <v>0.18596491228070175</v>
      </c>
      <c r="Q244" t="b">
        <v>1</v>
      </c>
      <c r="R244" t="s">
        <v>121</v>
      </c>
      <c r="S244" t="s">
        <v>58</v>
      </c>
      <c r="U244" t="s">
        <v>234</v>
      </c>
    </row>
    <row r="245" spans="2:22" s="3" customFormat="1" x14ac:dyDescent="0.3">
      <c r="B245" s="3" t="s">
        <v>178</v>
      </c>
      <c r="C245" s="3">
        <v>2019</v>
      </c>
      <c r="E245" s="3" t="s">
        <v>28</v>
      </c>
      <c r="F245" s="3" t="s">
        <v>18</v>
      </c>
      <c r="I245" s="3" t="s">
        <v>92</v>
      </c>
      <c r="J245" s="3">
        <v>386</v>
      </c>
      <c r="N245" s="3">
        <v>129</v>
      </c>
      <c r="O245" s="3">
        <f t="shared" ref="O245:O252" si="14">N245</f>
        <v>129</v>
      </c>
      <c r="P245" s="3">
        <f t="shared" si="12"/>
        <v>0.33419689119170987</v>
      </c>
      <c r="Q245" t="b">
        <v>0</v>
      </c>
      <c r="R245" s="3" t="s">
        <v>86</v>
      </c>
      <c r="U245" s="3" t="s">
        <v>244</v>
      </c>
    </row>
    <row r="246" spans="2:22" x14ac:dyDescent="0.3">
      <c r="B246" t="s">
        <v>179</v>
      </c>
      <c r="C246">
        <v>2016</v>
      </c>
      <c r="D246">
        <v>2012</v>
      </c>
      <c r="E246" t="s">
        <v>28</v>
      </c>
      <c r="F246" t="s">
        <v>18</v>
      </c>
      <c r="G246">
        <v>1</v>
      </c>
      <c r="H246" t="s">
        <v>228</v>
      </c>
      <c r="I246" t="s">
        <v>245</v>
      </c>
      <c r="J246">
        <v>22226</v>
      </c>
      <c r="N246">
        <v>434</v>
      </c>
      <c r="O246">
        <f t="shared" si="14"/>
        <v>434</v>
      </c>
      <c r="P246">
        <f t="shared" si="12"/>
        <v>1.9526680464321065E-2</v>
      </c>
      <c r="Q246" t="b">
        <v>0</v>
      </c>
      <c r="R246" t="s">
        <v>121</v>
      </c>
      <c r="S246" t="s">
        <v>58</v>
      </c>
      <c r="U246" t="s">
        <v>233</v>
      </c>
    </row>
    <row r="247" spans="2:22" x14ac:dyDescent="0.3">
      <c r="B247" t="s">
        <v>179</v>
      </c>
      <c r="C247">
        <v>2016</v>
      </c>
      <c r="D247">
        <v>2012</v>
      </c>
      <c r="E247" t="s">
        <v>28</v>
      </c>
      <c r="F247" t="s">
        <v>18</v>
      </c>
      <c r="G247">
        <v>1</v>
      </c>
      <c r="H247" t="s">
        <v>228</v>
      </c>
      <c r="I247" t="s">
        <v>245</v>
      </c>
      <c r="J247">
        <v>2987</v>
      </c>
      <c r="N247">
        <v>434</v>
      </c>
      <c r="O247">
        <f t="shared" si="14"/>
        <v>434</v>
      </c>
      <c r="P247">
        <f t="shared" si="12"/>
        <v>0.14529628389688651</v>
      </c>
      <c r="Q247" t="b">
        <v>1</v>
      </c>
      <c r="R247" t="s">
        <v>121</v>
      </c>
      <c r="S247" t="s">
        <v>58</v>
      </c>
      <c r="U247" t="s">
        <v>234</v>
      </c>
      <c r="V247" t="s">
        <v>236</v>
      </c>
    </row>
    <row r="248" spans="2:22" s="3" customFormat="1" x14ac:dyDescent="0.3">
      <c r="B248" s="3" t="s">
        <v>180</v>
      </c>
      <c r="C248" s="3">
        <v>2005</v>
      </c>
      <c r="E248" s="3" t="s">
        <v>28</v>
      </c>
      <c r="F248" s="3" t="s">
        <v>18</v>
      </c>
      <c r="G248" s="3">
        <v>0</v>
      </c>
      <c r="H248" s="3" t="s">
        <v>247</v>
      </c>
      <c r="I248" s="3" t="s">
        <v>246</v>
      </c>
      <c r="J248" s="3">
        <v>152</v>
      </c>
      <c r="N248" s="3">
        <v>9</v>
      </c>
      <c r="O248" s="3">
        <f t="shared" si="14"/>
        <v>9</v>
      </c>
      <c r="P248" s="3">
        <f t="shared" si="12"/>
        <v>5.921052631578947E-2</v>
      </c>
      <c r="Q248" t="b">
        <v>0</v>
      </c>
      <c r="R248" s="3" t="s">
        <v>86</v>
      </c>
      <c r="S248" s="3" t="s">
        <v>58</v>
      </c>
      <c r="U248" s="3" t="s">
        <v>233</v>
      </c>
    </row>
    <row r="249" spans="2:22" s="3" customFormat="1" x14ac:dyDescent="0.3">
      <c r="B249" s="3" t="s">
        <v>180</v>
      </c>
      <c r="C249" s="3">
        <v>2005</v>
      </c>
      <c r="E249" s="3" t="s">
        <v>28</v>
      </c>
      <c r="F249" s="3" t="s">
        <v>18</v>
      </c>
      <c r="G249" s="3">
        <v>0</v>
      </c>
      <c r="H249" s="3" t="s">
        <v>247</v>
      </c>
      <c r="I249" s="3" t="s">
        <v>246</v>
      </c>
      <c r="J249" s="3">
        <v>114</v>
      </c>
      <c r="N249" s="3">
        <v>9</v>
      </c>
      <c r="O249" s="3">
        <f t="shared" si="14"/>
        <v>9</v>
      </c>
      <c r="P249" s="3">
        <f t="shared" si="12"/>
        <v>7.8947368421052627E-2</v>
      </c>
      <c r="Q249" t="b">
        <v>1</v>
      </c>
      <c r="R249" s="3" t="s">
        <v>86</v>
      </c>
      <c r="S249" s="3" t="s">
        <v>58</v>
      </c>
      <c r="U249" s="3" t="s">
        <v>234</v>
      </c>
      <c r="V249" s="3" t="s">
        <v>236</v>
      </c>
    </row>
    <row r="250" spans="2:22" x14ac:dyDescent="0.3">
      <c r="B250" t="s">
        <v>181</v>
      </c>
      <c r="C250">
        <v>2014</v>
      </c>
      <c r="E250" t="s">
        <v>28</v>
      </c>
      <c r="F250" t="s">
        <v>18</v>
      </c>
      <c r="G250">
        <v>0</v>
      </c>
      <c r="H250" t="s">
        <v>248</v>
      </c>
      <c r="I250" t="s">
        <v>246</v>
      </c>
      <c r="J250">
        <v>373</v>
      </c>
      <c r="N250">
        <v>33</v>
      </c>
      <c r="O250">
        <f t="shared" si="14"/>
        <v>33</v>
      </c>
      <c r="P250">
        <f t="shared" si="12"/>
        <v>8.8471849865951746E-2</v>
      </c>
      <c r="Q250" t="b">
        <v>1</v>
      </c>
      <c r="R250" t="s">
        <v>86</v>
      </c>
      <c r="S250" t="s">
        <v>58</v>
      </c>
      <c r="T250" t="s">
        <v>249</v>
      </c>
    </row>
    <row r="251" spans="2:22" s="3" customFormat="1" x14ac:dyDescent="0.3">
      <c r="B251" s="3" t="s">
        <v>183</v>
      </c>
      <c r="C251" s="3">
        <v>2011</v>
      </c>
      <c r="E251" s="3" t="s">
        <v>28</v>
      </c>
      <c r="F251" s="3" t="s">
        <v>18</v>
      </c>
      <c r="G251" s="3">
        <v>0</v>
      </c>
      <c r="I251" s="3" t="s">
        <v>93</v>
      </c>
      <c r="J251" s="3">
        <v>65</v>
      </c>
      <c r="N251" s="3">
        <v>35</v>
      </c>
      <c r="O251" s="3">
        <f t="shared" si="14"/>
        <v>35</v>
      </c>
      <c r="P251" s="3">
        <f t="shared" si="12"/>
        <v>0.53846153846153844</v>
      </c>
      <c r="Q251" t="b">
        <v>1</v>
      </c>
      <c r="R251" s="3" t="s">
        <v>86</v>
      </c>
      <c r="S251" s="3" t="s">
        <v>58</v>
      </c>
    </row>
    <row r="252" spans="2:22" x14ac:dyDescent="0.3">
      <c r="B252" t="s">
        <v>182</v>
      </c>
      <c r="C252">
        <v>2004</v>
      </c>
      <c r="D252" t="s">
        <v>250</v>
      </c>
      <c r="E252" t="s">
        <v>28</v>
      </c>
      <c r="F252" t="s">
        <v>5</v>
      </c>
      <c r="G252">
        <v>0</v>
      </c>
      <c r="H252" t="s">
        <v>56</v>
      </c>
      <c r="J252">
        <v>125</v>
      </c>
      <c r="N252">
        <v>44</v>
      </c>
      <c r="O252">
        <f t="shared" si="14"/>
        <v>44</v>
      </c>
      <c r="P252">
        <f t="shared" si="12"/>
        <v>0.35199999999999998</v>
      </c>
      <c r="Q252" t="b">
        <v>0</v>
      </c>
      <c r="R252" t="s">
        <v>53</v>
      </c>
      <c r="S252" t="s">
        <v>58</v>
      </c>
      <c r="U252" t="s">
        <v>251</v>
      </c>
    </row>
    <row r="253" spans="2:22" s="3" customFormat="1" x14ac:dyDescent="0.3">
      <c r="B253" s="3" t="s">
        <v>292</v>
      </c>
      <c r="C253" s="3">
        <v>2024</v>
      </c>
      <c r="D253" s="3">
        <v>2022</v>
      </c>
      <c r="E253" s="3" t="s">
        <v>28</v>
      </c>
      <c r="F253" s="3" t="s">
        <v>18</v>
      </c>
      <c r="G253" s="3">
        <v>0</v>
      </c>
      <c r="H253" s="3" t="s">
        <v>293</v>
      </c>
      <c r="I253" s="3" t="s">
        <v>56</v>
      </c>
      <c r="J253" s="3">
        <v>526</v>
      </c>
      <c r="M253" s="3">
        <v>13.9</v>
      </c>
      <c r="O253" s="3">
        <f>J253*M253%</f>
        <v>73.114000000000004</v>
      </c>
      <c r="P253" s="3">
        <f>M253/100</f>
        <v>0.13900000000000001</v>
      </c>
      <c r="Q253" t="b">
        <v>0</v>
      </c>
      <c r="R253" s="3" t="s">
        <v>51</v>
      </c>
      <c r="S253" s="3" t="s">
        <v>58</v>
      </c>
      <c r="U253" s="3" t="s">
        <v>294</v>
      </c>
    </row>
    <row r="254" spans="2:22" s="3" customFormat="1" x14ac:dyDescent="0.3">
      <c r="B254" s="3" t="s">
        <v>292</v>
      </c>
      <c r="C254" s="3">
        <v>2024</v>
      </c>
      <c r="D254" s="3">
        <v>2022</v>
      </c>
      <c r="E254" s="3" t="s">
        <v>28</v>
      </c>
      <c r="F254" s="3" t="s">
        <v>18</v>
      </c>
      <c r="G254" s="3">
        <v>0</v>
      </c>
      <c r="H254" s="3" t="s">
        <v>293</v>
      </c>
      <c r="I254" s="3" t="s">
        <v>56</v>
      </c>
      <c r="J254" s="3">
        <v>526</v>
      </c>
      <c r="M254" s="3">
        <v>12.3</v>
      </c>
      <c r="O254" s="3">
        <f>J254*M254%</f>
        <v>64.698000000000008</v>
      </c>
      <c r="P254" s="3">
        <f>M254/100</f>
        <v>0.12300000000000001</v>
      </c>
      <c r="Q254" t="b">
        <v>1</v>
      </c>
      <c r="R254" s="3" t="s">
        <v>51</v>
      </c>
      <c r="S254" s="3" t="s">
        <v>58</v>
      </c>
      <c r="U254" s="3" t="s">
        <v>295</v>
      </c>
      <c r="V254" s="3" t="s">
        <v>296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4F5B-5C98-F041-9DFB-637A29578797}">
  <dimension ref="A1:O30"/>
  <sheetViews>
    <sheetView topLeftCell="B1" zoomScale="179" zoomScaleNormal="179" workbookViewId="0">
      <pane ySplit="1" topLeftCell="A26" activePane="bottomLeft" state="frozen"/>
      <selection pane="bottomLeft" activeCell="B1" sqref="A1:XFD1"/>
    </sheetView>
  </sheetViews>
  <sheetFormatPr defaultColWidth="11.19921875" defaultRowHeight="15.6" x14ac:dyDescent="0.3"/>
  <cols>
    <col min="1" max="1" width="29.796875" customWidth="1"/>
  </cols>
  <sheetData>
    <row r="1" spans="1:15" s="1" customFormat="1" x14ac:dyDescent="0.3">
      <c r="A1" s="1" t="s">
        <v>26</v>
      </c>
      <c r="B1" s="1" t="s">
        <v>54</v>
      </c>
      <c r="C1" s="1" t="s">
        <v>213</v>
      </c>
      <c r="D1" s="1" t="s">
        <v>214</v>
      </c>
      <c r="E1" s="1" t="s">
        <v>215</v>
      </c>
      <c r="F1" s="1" t="s">
        <v>216</v>
      </c>
      <c r="G1" s="1" t="s">
        <v>220</v>
      </c>
      <c r="H1" s="1" t="s">
        <v>217</v>
      </c>
      <c r="I1" s="1" t="s">
        <v>218</v>
      </c>
      <c r="J1" s="1" t="s">
        <v>219</v>
      </c>
      <c r="K1" s="1" t="s">
        <v>221</v>
      </c>
      <c r="L1" s="1" t="s">
        <v>222</v>
      </c>
      <c r="M1" s="1" t="s">
        <v>223</v>
      </c>
      <c r="N1" s="1" t="s">
        <v>224</v>
      </c>
      <c r="O1" s="1" t="s">
        <v>225</v>
      </c>
    </row>
    <row r="2" spans="1:15" x14ac:dyDescent="0.3">
      <c r="A2" t="s">
        <v>184</v>
      </c>
      <c r="B2" t="s">
        <v>226</v>
      </c>
      <c r="C2" t="s">
        <v>256</v>
      </c>
      <c r="F2">
        <v>74</v>
      </c>
      <c r="G2">
        <v>24</v>
      </c>
      <c r="N2">
        <v>68</v>
      </c>
      <c r="O2">
        <v>30</v>
      </c>
    </row>
    <row r="3" spans="1:15" x14ac:dyDescent="0.3">
      <c r="A3" t="s">
        <v>185</v>
      </c>
      <c r="B3" t="s">
        <v>226</v>
      </c>
      <c r="C3" t="s">
        <v>257</v>
      </c>
      <c r="F3">
        <v>26</v>
      </c>
      <c r="G3">
        <v>0</v>
      </c>
      <c r="N3">
        <v>29</v>
      </c>
      <c r="O3">
        <v>0</v>
      </c>
    </row>
    <row r="4" spans="1:15" x14ac:dyDescent="0.3">
      <c r="A4" t="s">
        <v>186</v>
      </c>
      <c r="B4" t="s">
        <v>252</v>
      </c>
      <c r="C4" t="s">
        <v>258</v>
      </c>
      <c r="D4">
        <v>1</v>
      </c>
      <c r="E4">
        <v>19</v>
      </c>
      <c r="F4">
        <v>11</v>
      </c>
      <c r="G4">
        <v>9</v>
      </c>
      <c r="H4">
        <v>1</v>
      </c>
      <c r="I4">
        <v>19</v>
      </c>
      <c r="J4">
        <v>20</v>
      </c>
      <c r="K4">
        <v>0</v>
      </c>
    </row>
    <row r="5" spans="1:15" x14ac:dyDescent="0.3">
      <c r="A5" t="s">
        <v>187</v>
      </c>
      <c r="B5" t="s">
        <v>226</v>
      </c>
      <c r="C5" t="s">
        <v>258</v>
      </c>
      <c r="D5">
        <v>14</v>
      </c>
      <c r="E5">
        <v>12</v>
      </c>
      <c r="H5">
        <v>9</v>
      </c>
      <c r="I5">
        <v>17</v>
      </c>
    </row>
    <row r="6" spans="1:15" x14ac:dyDescent="0.3">
      <c r="A6" t="s">
        <v>188</v>
      </c>
      <c r="B6" t="s">
        <v>226</v>
      </c>
      <c r="C6" t="s">
        <v>258</v>
      </c>
      <c r="D6">
        <v>13</v>
      </c>
      <c r="E6">
        <v>155</v>
      </c>
      <c r="F6">
        <v>85</v>
      </c>
      <c r="G6">
        <v>83</v>
      </c>
    </row>
    <row r="7" spans="1:15" x14ac:dyDescent="0.3">
      <c r="A7" t="s">
        <v>189</v>
      </c>
      <c r="B7" t="s">
        <v>253</v>
      </c>
      <c r="C7" t="s">
        <v>258</v>
      </c>
      <c r="D7">
        <v>5</v>
      </c>
      <c r="E7">
        <v>4</v>
      </c>
      <c r="F7">
        <v>13</v>
      </c>
      <c r="G7">
        <v>0</v>
      </c>
      <c r="L7">
        <v>8</v>
      </c>
      <c r="M7">
        <v>1</v>
      </c>
      <c r="N7">
        <v>14</v>
      </c>
      <c r="O7">
        <v>0</v>
      </c>
    </row>
    <row r="8" spans="1:15" x14ac:dyDescent="0.3">
      <c r="A8" t="s">
        <v>190</v>
      </c>
      <c r="B8" t="s">
        <v>255</v>
      </c>
      <c r="C8" t="s">
        <v>258</v>
      </c>
      <c r="H8">
        <v>29</v>
      </c>
      <c r="I8">
        <v>29</v>
      </c>
      <c r="L8">
        <v>11</v>
      </c>
      <c r="M8">
        <v>8</v>
      </c>
    </row>
    <row r="9" spans="1:15" x14ac:dyDescent="0.3">
      <c r="A9" t="s">
        <v>191</v>
      </c>
      <c r="B9" t="s">
        <v>226</v>
      </c>
      <c r="C9" t="s">
        <v>256</v>
      </c>
      <c r="F9">
        <v>2</v>
      </c>
      <c r="G9">
        <v>36</v>
      </c>
      <c r="N9">
        <v>19</v>
      </c>
      <c r="O9">
        <v>19</v>
      </c>
    </row>
    <row r="10" spans="1:15" x14ac:dyDescent="0.3">
      <c r="A10" t="s">
        <v>192</v>
      </c>
      <c r="B10" t="s">
        <v>252</v>
      </c>
      <c r="C10" t="s">
        <v>256</v>
      </c>
      <c r="F10">
        <v>131</v>
      </c>
      <c r="G10">
        <v>88</v>
      </c>
    </row>
    <row r="11" spans="1:15" x14ac:dyDescent="0.3">
      <c r="A11" t="s">
        <v>193</v>
      </c>
      <c r="B11" t="s">
        <v>226</v>
      </c>
      <c r="C11" t="s">
        <v>258</v>
      </c>
      <c r="D11">
        <v>5</v>
      </c>
      <c r="E11">
        <v>20</v>
      </c>
      <c r="F11">
        <v>15</v>
      </c>
      <c r="G11">
        <v>10</v>
      </c>
      <c r="H11">
        <v>3</v>
      </c>
      <c r="I11">
        <v>22</v>
      </c>
      <c r="J11">
        <v>24</v>
      </c>
      <c r="K11">
        <v>1</v>
      </c>
      <c r="L11">
        <v>9</v>
      </c>
      <c r="M11">
        <v>14</v>
      </c>
      <c r="N11">
        <v>23</v>
      </c>
      <c r="O11">
        <v>2</v>
      </c>
    </row>
    <row r="12" spans="1:15" x14ac:dyDescent="0.3">
      <c r="A12" t="s">
        <v>194</v>
      </c>
      <c r="B12" t="s">
        <v>226</v>
      </c>
      <c r="C12" t="s">
        <v>258</v>
      </c>
      <c r="D12">
        <v>4</v>
      </c>
      <c r="E12">
        <v>31</v>
      </c>
      <c r="F12">
        <v>19</v>
      </c>
      <c r="G12">
        <v>16</v>
      </c>
      <c r="L12">
        <v>6</v>
      </c>
      <c r="M12">
        <v>29</v>
      </c>
      <c r="N12">
        <v>28</v>
      </c>
      <c r="O12">
        <v>7</v>
      </c>
    </row>
    <row r="13" spans="1:15" x14ac:dyDescent="0.3">
      <c r="A13" t="s">
        <v>195</v>
      </c>
      <c r="C13" t="s">
        <v>256</v>
      </c>
      <c r="F13">
        <v>19</v>
      </c>
      <c r="G13">
        <v>21</v>
      </c>
      <c r="J13">
        <v>85</v>
      </c>
      <c r="K13">
        <v>1</v>
      </c>
    </row>
    <row r="14" spans="1:15" x14ac:dyDescent="0.3">
      <c r="A14" t="s">
        <v>196</v>
      </c>
      <c r="B14" t="s">
        <v>226</v>
      </c>
      <c r="C14" t="s">
        <v>258</v>
      </c>
      <c r="D14">
        <v>8</v>
      </c>
      <c r="E14">
        <v>70</v>
      </c>
      <c r="F14">
        <v>45</v>
      </c>
      <c r="G14">
        <v>31</v>
      </c>
    </row>
    <row r="15" spans="1:15" x14ac:dyDescent="0.3">
      <c r="A15" t="s">
        <v>197</v>
      </c>
      <c r="B15" t="s">
        <v>226</v>
      </c>
      <c r="C15" t="s">
        <v>258</v>
      </c>
      <c r="D15">
        <v>4</v>
      </c>
      <c r="E15">
        <v>82</v>
      </c>
      <c r="F15">
        <v>61</v>
      </c>
      <c r="G15">
        <v>47</v>
      </c>
      <c r="L15">
        <v>3</v>
      </c>
      <c r="M15">
        <v>43</v>
      </c>
      <c r="N15">
        <v>39</v>
      </c>
      <c r="O15">
        <v>13</v>
      </c>
    </row>
    <row r="16" spans="1:15" x14ac:dyDescent="0.3">
      <c r="A16" t="s">
        <v>198</v>
      </c>
      <c r="B16" t="s">
        <v>253</v>
      </c>
      <c r="C16" t="s">
        <v>257</v>
      </c>
      <c r="F16">
        <v>5</v>
      </c>
      <c r="G16">
        <v>10</v>
      </c>
      <c r="J16">
        <v>1</v>
      </c>
      <c r="K16">
        <v>14</v>
      </c>
    </row>
    <row r="17" spans="1:15" x14ac:dyDescent="0.3">
      <c r="A17" t="s">
        <v>199</v>
      </c>
      <c r="B17" t="s">
        <v>226</v>
      </c>
      <c r="C17" t="s">
        <v>256</v>
      </c>
      <c r="F17">
        <v>9</v>
      </c>
      <c r="G17">
        <v>39</v>
      </c>
      <c r="N17">
        <v>12</v>
      </c>
      <c r="O17">
        <v>4</v>
      </c>
    </row>
    <row r="18" spans="1:15" x14ac:dyDescent="0.3">
      <c r="A18" t="s">
        <v>200</v>
      </c>
      <c r="B18" t="s">
        <v>226</v>
      </c>
      <c r="C18" t="s">
        <v>256</v>
      </c>
      <c r="F18">
        <v>5</v>
      </c>
      <c r="G18">
        <v>14</v>
      </c>
      <c r="N18">
        <v>10</v>
      </c>
      <c r="O18">
        <v>9</v>
      </c>
    </row>
    <row r="19" spans="1:15" x14ac:dyDescent="0.3">
      <c r="A19" t="s">
        <v>201</v>
      </c>
      <c r="B19" t="s">
        <v>226</v>
      </c>
      <c r="C19" t="s">
        <v>258</v>
      </c>
      <c r="D19">
        <v>1</v>
      </c>
      <c r="E19">
        <v>17</v>
      </c>
      <c r="F19">
        <v>9</v>
      </c>
      <c r="G19">
        <v>9</v>
      </c>
      <c r="L19">
        <v>2</v>
      </c>
      <c r="M19">
        <v>16</v>
      </c>
      <c r="N19">
        <v>18</v>
      </c>
      <c r="O19">
        <v>0</v>
      </c>
    </row>
    <row r="20" spans="1:15" x14ac:dyDescent="0.3">
      <c r="A20" t="s">
        <v>202</v>
      </c>
      <c r="B20" t="s">
        <v>226</v>
      </c>
      <c r="C20" t="s">
        <v>256</v>
      </c>
      <c r="F20">
        <v>15</v>
      </c>
      <c r="G20">
        <v>33</v>
      </c>
      <c r="N20">
        <v>16</v>
      </c>
      <c r="O20">
        <v>32</v>
      </c>
    </row>
    <row r="21" spans="1:15" x14ac:dyDescent="0.3">
      <c r="A21" t="s">
        <v>203</v>
      </c>
      <c r="B21" t="s">
        <v>226</v>
      </c>
      <c r="C21" t="s">
        <v>258</v>
      </c>
      <c r="D21">
        <v>10</v>
      </c>
      <c r="E21">
        <v>20</v>
      </c>
      <c r="F21">
        <v>18</v>
      </c>
      <c r="G21">
        <v>12</v>
      </c>
      <c r="H21">
        <v>7</v>
      </c>
      <c r="I21">
        <v>23</v>
      </c>
      <c r="J21">
        <v>25</v>
      </c>
      <c r="K21">
        <v>5</v>
      </c>
      <c r="L21">
        <v>10</v>
      </c>
      <c r="M21">
        <v>20</v>
      </c>
      <c r="N21">
        <v>25</v>
      </c>
      <c r="O21">
        <v>5</v>
      </c>
    </row>
    <row r="22" spans="1:15" x14ac:dyDescent="0.3">
      <c r="A22" t="s">
        <v>204</v>
      </c>
      <c r="B22" t="s">
        <v>226</v>
      </c>
      <c r="C22" t="s">
        <v>258</v>
      </c>
      <c r="D22">
        <v>19</v>
      </c>
      <c r="E22">
        <v>63</v>
      </c>
      <c r="F22">
        <v>69</v>
      </c>
      <c r="G22">
        <v>13</v>
      </c>
      <c r="L22">
        <v>44</v>
      </c>
      <c r="M22">
        <v>38</v>
      </c>
      <c r="N22">
        <v>77</v>
      </c>
      <c r="O22">
        <v>5</v>
      </c>
    </row>
    <row r="23" spans="1:15" x14ac:dyDescent="0.3">
      <c r="A23" t="s">
        <v>205</v>
      </c>
      <c r="B23" t="s">
        <v>226</v>
      </c>
      <c r="C23" t="s">
        <v>258</v>
      </c>
    </row>
    <row r="24" spans="1:15" x14ac:dyDescent="0.3">
      <c r="A24" t="s">
        <v>206</v>
      </c>
      <c r="B24" t="s">
        <v>226</v>
      </c>
      <c r="C24" t="s">
        <v>258</v>
      </c>
      <c r="D24">
        <v>21</v>
      </c>
      <c r="E24">
        <v>31</v>
      </c>
      <c r="F24">
        <v>40</v>
      </c>
      <c r="G24">
        <v>5</v>
      </c>
      <c r="L24">
        <v>4</v>
      </c>
      <c r="M24">
        <v>27</v>
      </c>
      <c r="N24">
        <v>36</v>
      </c>
      <c r="O24">
        <v>1</v>
      </c>
    </row>
    <row r="25" spans="1:15" x14ac:dyDescent="0.3">
      <c r="A25" t="s">
        <v>207</v>
      </c>
      <c r="B25" t="s">
        <v>226</v>
      </c>
      <c r="C25" t="s">
        <v>256</v>
      </c>
      <c r="F25">
        <v>32</v>
      </c>
      <c r="G25">
        <v>49</v>
      </c>
      <c r="N25">
        <v>20</v>
      </c>
      <c r="O25">
        <v>7</v>
      </c>
    </row>
    <row r="26" spans="1:15" x14ac:dyDescent="0.3">
      <c r="A26" t="s">
        <v>208</v>
      </c>
      <c r="B26" t="s">
        <v>226</v>
      </c>
      <c r="C26" t="s">
        <v>258</v>
      </c>
      <c r="H26">
        <v>6</v>
      </c>
      <c r="I26">
        <v>38</v>
      </c>
      <c r="J26">
        <v>35</v>
      </c>
      <c r="K26">
        <v>7</v>
      </c>
      <c r="L26">
        <v>5</v>
      </c>
      <c r="M26">
        <v>34</v>
      </c>
      <c r="N26">
        <v>34</v>
      </c>
      <c r="O26">
        <v>10</v>
      </c>
    </row>
    <row r="27" spans="1:15" x14ac:dyDescent="0.3">
      <c r="A27" t="s">
        <v>209</v>
      </c>
      <c r="B27" t="s">
        <v>254</v>
      </c>
      <c r="C27" t="s">
        <v>258</v>
      </c>
      <c r="D27">
        <v>15</v>
      </c>
      <c r="E27">
        <v>22</v>
      </c>
      <c r="F27">
        <v>37</v>
      </c>
      <c r="G27">
        <v>0</v>
      </c>
      <c r="H27">
        <v>7</v>
      </c>
      <c r="I27">
        <v>30</v>
      </c>
      <c r="J27">
        <v>37</v>
      </c>
      <c r="K27">
        <v>0</v>
      </c>
      <c r="L27">
        <v>18</v>
      </c>
      <c r="M27">
        <v>22</v>
      </c>
      <c r="N27">
        <v>40</v>
      </c>
      <c r="O27">
        <v>0</v>
      </c>
    </row>
    <row r="28" spans="1:15" x14ac:dyDescent="0.3">
      <c r="A28" t="s">
        <v>210</v>
      </c>
      <c r="B28" t="s">
        <v>226</v>
      </c>
      <c r="C28" t="s">
        <v>258</v>
      </c>
      <c r="D28">
        <v>5</v>
      </c>
      <c r="E28">
        <v>38</v>
      </c>
      <c r="F28">
        <v>25</v>
      </c>
      <c r="G28">
        <v>17</v>
      </c>
      <c r="L28">
        <v>5</v>
      </c>
      <c r="M28">
        <v>38</v>
      </c>
      <c r="N28">
        <v>29</v>
      </c>
      <c r="O28">
        <v>9</v>
      </c>
    </row>
    <row r="29" spans="1:15" x14ac:dyDescent="0.3">
      <c r="A29" t="s">
        <v>211</v>
      </c>
      <c r="B29" t="s">
        <v>226</v>
      </c>
      <c r="C29" t="s">
        <v>258</v>
      </c>
      <c r="D29">
        <v>17</v>
      </c>
      <c r="E29">
        <v>71</v>
      </c>
      <c r="F29">
        <v>60</v>
      </c>
      <c r="G29">
        <v>26</v>
      </c>
      <c r="L29">
        <v>7</v>
      </c>
      <c r="M29">
        <v>31</v>
      </c>
      <c r="N29">
        <v>29</v>
      </c>
      <c r="O29">
        <v>10</v>
      </c>
    </row>
    <row r="30" spans="1:15" x14ac:dyDescent="0.3">
      <c r="A30" t="s">
        <v>212</v>
      </c>
      <c r="B30" t="s">
        <v>226</v>
      </c>
      <c r="C30" t="s">
        <v>259</v>
      </c>
      <c r="F30">
        <v>11</v>
      </c>
      <c r="G30">
        <v>78</v>
      </c>
      <c r="N30">
        <v>13</v>
      </c>
      <c r="O30">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DE5B-3089-3B42-A1CB-45ACC1407448}">
  <dimension ref="A1:R34"/>
  <sheetViews>
    <sheetView topLeftCell="A19" zoomScale="239" zoomScaleNormal="239" workbookViewId="0">
      <selection activeCell="E24" sqref="E24"/>
    </sheetView>
  </sheetViews>
  <sheetFormatPr defaultColWidth="11.19921875" defaultRowHeight="15.6" x14ac:dyDescent="0.3"/>
  <cols>
    <col min="1" max="1" width="22.19921875" customWidth="1"/>
    <col min="2" max="2" width="21.69921875" customWidth="1"/>
  </cols>
  <sheetData>
    <row r="1" spans="1:18" s="1" customFormat="1" x14ac:dyDescent="0.3">
      <c r="A1" s="1" t="s">
        <v>25</v>
      </c>
      <c r="B1" s="7" t="s">
        <v>260</v>
      </c>
    </row>
    <row r="2" spans="1:18" x14ac:dyDescent="0.3">
      <c r="A2" s="1" t="s">
        <v>26</v>
      </c>
      <c r="B2" s="7" t="s">
        <v>261</v>
      </c>
      <c r="C2" s="1"/>
      <c r="D2" s="1"/>
      <c r="E2" s="1"/>
      <c r="F2" s="1"/>
      <c r="G2" s="1"/>
      <c r="H2" s="1"/>
      <c r="I2" s="1"/>
      <c r="J2" s="1"/>
      <c r="K2" s="1"/>
      <c r="L2" s="1"/>
      <c r="M2" s="1"/>
      <c r="N2" s="1"/>
      <c r="O2" s="1"/>
      <c r="P2" s="1"/>
      <c r="Q2" s="1"/>
      <c r="R2" s="1"/>
    </row>
    <row r="3" spans="1:18" x14ac:dyDescent="0.3">
      <c r="A3" s="1" t="s">
        <v>22</v>
      </c>
      <c r="B3" s="7" t="s">
        <v>262</v>
      </c>
      <c r="C3" s="1"/>
      <c r="D3" s="1"/>
      <c r="E3" s="1"/>
      <c r="F3" s="1"/>
      <c r="G3" s="1"/>
      <c r="H3" s="1"/>
      <c r="I3" s="1"/>
      <c r="J3" s="1"/>
      <c r="K3" s="1"/>
      <c r="L3" s="1"/>
      <c r="M3" s="1"/>
      <c r="N3" s="1"/>
      <c r="O3" s="1"/>
      <c r="P3" s="1"/>
      <c r="Q3" s="1"/>
    </row>
    <row r="4" spans="1:18" x14ac:dyDescent="0.3">
      <c r="A4" s="1" t="s">
        <v>0</v>
      </c>
      <c r="B4" s="7" t="s">
        <v>263</v>
      </c>
      <c r="C4" s="1"/>
      <c r="D4" s="1"/>
      <c r="E4" s="1"/>
      <c r="F4" s="1"/>
      <c r="G4" s="1"/>
      <c r="H4" s="1"/>
      <c r="I4" s="1"/>
      <c r="J4" s="1"/>
      <c r="K4" s="1"/>
      <c r="L4" s="1"/>
      <c r="M4" s="1"/>
      <c r="N4" s="1"/>
      <c r="O4" s="1"/>
      <c r="P4" s="1"/>
    </row>
    <row r="5" spans="1:18" x14ac:dyDescent="0.3">
      <c r="A5" s="1" t="s">
        <v>1</v>
      </c>
      <c r="B5" s="7" t="s">
        <v>264</v>
      </c>
      <c r="C5" s="1"/>
      <c r="D5" s="1"/>
      <c r="E5" s="1"/>
      <c r="F5" s="1"/>
      <c r="G5" s="1"/>
      <c r="H5" s="1"/>
      <c r="I5" s="1"/>
      <c r="J5" s="1"/>
      <c r="K5" s="1"/>
      <c r="L5" s="1"/>
      <c r="M5" s="1"/>
      <c r="N5" s="1"/>
      <c r="O5" s="1"/>
    </row>
    <row r="6" spans="1:18" x14ac:dyDescent="0.3">
      <c r="A6" s="1" t="s">
        <v>2</v>
      </c>
      <c r="B6" s="7" t="s">
        <v>265</v>
      </c>
      <c r="C6" s="1"/>
      <c r="D6" s="1"/>
      <c r="E6" s="1"/>
      <c r="F6" s="1"/>
      <c r="G6" s="1"/>
      <c r="H6" s="1"/>
      <c r="I6" s="1"/>
      <c r="J6" s="1"/>
      <c r="K6" s="1"/>
      <c r="L6" s="1"/>
      <c r="M6" s="1"/>
      <c r="N6" s="1"/>
    </row>
    <row r="7" spans="1:18" x14ac:dyDescent="0.3">
      <c r="A7" s="1" t="s">
        <v>226</v>
      </c>
      <c r="B7" s="7" t="s">
        <v>266</v>
      </c>
      <c r="C7" s="1"/>
      <c r="D7" s="1"/>
      <c r="E7" s="1"/>
      <c r="F7" s="1"/>
      <c r="G7" s="1"/>
      <c r="H7" s="1"/>
      <c r="I7" s="1"/>
      <c r="J7" s="1"/>
      <c r="K7" s="1"/>
      <c r="L7" s="1"/>
      <c r="M7" s="1"/>
    </row>
    <row r="8" spans="1:18" x14ac:dyDescent="0.3">
      <c r="A8" s="1" t="s">
        <v>54</v>
      </c>
      <c r="B8" s="7" t="s">
        <v>267</v>
      </c>
      <c r="C8" s="1"/>
      <c r="D8" s="1"/>
      <c r="E8" s="1"/>
      <c r="F8" s="1"/>
      <c r="G8" s="1"/>
      <c r="H8" s="1"/>
      <c r="I8" s="1"/>
      <c r="J8" s="1"/>
      <c r="K8" s="1"/>
      <c r="L8" s="1"/>
    </row>
    <row r="9" spans="1:18" x14ac:dyDescent="0.3">
      <c r="A9" s="1" t="s">
        <v>39</v>
      </c>
      <c r="B9" s="7" t="s">
        <v>268</v>
      </c>
      <c r="C9" s="1"/>
      <c r="D9" s="1"/>
      <c r="E9" s="1"/>
      <c r="F9" s="1"/>
      <c r="G9" s="1"/>
      <c r="H9" s="1"/>
      <c r="I9" s="1"/>
      <c r="J9" s="1"/>
      <c r="K9" s="1"/>
    </row>
    <row r="10" spans="1:18" x14ac:dyDescent="0.3">
      <c r="A10" s="1" t="s">
        <v>42</v>
      </c>
      <c r="B10" s="7" t="s">
        <v>269</v>
      </c>
      <c r="C10" s="1"/>
      <c r="D10" s="1"/>
      <c r="E10" s="1"/>
      <c r="F10" s="1"/>
      <c r="G10" s="1"/>
      <c r="H10" s="1"/>
      <c r="I10" s="1"/>
      <c r="J10" s="1"/>
    </row>
    <row r="11" spans="1:18" x14ac:dyDescent="0.3">
      <c r="A11" s="1" t="s">
        <v>128</v>
      </c>
      <c r="B11" s="7" t="s">
        <v>271</v>
      </c>
      <c r="C11" s="1"/>
      <c r="D11" s="1"/>
      <c r="E11" s="1"/>
      <c r="F11" s="1"/>
      <c r="G11" s="1"/>
      <c r="H11" s="1"/>
      <c r="I11" s="1"/>
    </row>
    <row r="12" spans="1:18" x14ac:dyDescent="0.3">
      <c r="A12" s="1" t="s">
        <v>129</v>
      </c>
      <c r="B12" s="7" t="s">
        <v>270</v>
      </c>
      <c r="C12" s="1"/>
      <c r="D12" s="1"/>
      <c r="E12" s="1"/>
      <c r="F12" s="1"/>
      <c r="G12" s="1"/>
      <c r="H12" s="1"/>
    </row>
    <row r="13" spans="1:18" x14ac:dyDescent="0.3">
      <c r="A13" s="1" t="s">
        <v>19</v>
      </c>
      <c r="B13" s="7" t="s">
        <v>272</v>
      </c>
      <c r="C13" s="1"/>
      <c r="D13" s="1"/>
      <c r="E13" s="1"/>
      <c r="F13" s="1"/>
      <c r="G13" s="1"/>
    </row>
    <row r="14" spans="1:18" x14ac:dyDescent="0.3">
      <c r="A14" s="1" t="s">
        <v>20</v>
      </c>
      <c r="B14" s="7" t="s">
        <v>273</v>
      </c>
      <c r="C14" s="1"/>
      <c r="D14" s="1"/>
      <c r="E14" s="1"/>
      <c r="F14" s="1"/>
    </row>
    <row r="15" spans="1:18" x14ac:dyDescent="0.3">
      <c r="A15" s="1" t="s">
        <v>21</v>
      </c>
      <c r="B15" s="7" t="s">
        <v>274</v>
      </c>
      <c r="C15" s="1"/>
      <c r="D15" s="1"/>
      <c r="E15" s="1"/>
    </row>
    <row r="16" spans="1:18" x14ac:dyDescent="0.3">
      <c r="A16" s="1" t="s">
        <v>29</v>
      </c>
      <c r="B16" s="7" t="s">
        <v>275</v>
      </c>
      <c r="C16" s="1"/>
      <c r="D16" s="1"/>
    </row>
    <row r="17" spans="1:14" x14ac:dyDescent="0.3">
      <c r="A17" s="1" t="s">
        <v>30</v>
      </c>
      <c r="B17" s="7" t="s">
        <v>276</v>
      </c>
      <c r="C17" s="1"/>
    </row>
    <row r="18" spans="1:14" x14ac:dyDescent="0.3">
      <c r="A18" s="1" t="s">
        <v>23</v>
      </c>
      <c r="B18" s="1"/>
    </row>
    <row r="19" spans="1:14" x14ac:dyDescent="0.3">
      <c r="A19" s="1" t="s">
        <v>159</v>
      </c>
      <c r="B19" s="7" t="s">
        <v>277</v>
      </c>
    </row>
    <row r="20" spans="1:14" s="1" customFormat="1" x14ac:dyDescent="0.3">
      <c r="A20" s="1" t="s">
        <v>26</v>
      </c>
      <c r="B20" s="7" t="s">
        <v>261</v>
      </c>
    </row>
    <row r="21" spans="1:14" x14ac:dyDescent="0.3">
      <c r="A21" s="1" t="s">
        <v>54</v>
      </c>
      <c r="B21" s="7" t="s">
        <v>278</v>
      </c>
      <c r="C21" s="1"/>
      <c r="D21" s="1"/>
      <c r="E21" s="1"/>
      <c r="F21" s="1"/>
      <c r="G21" s="1"/>
      <c r="H21" s="1"/>
      <c r="I21" s="1"/>
      <c r="J21" s="1"/>
      <c r="K21" s="1"/>
      <c r="L21" s="1"/>
      <c r="M21" s="1"/>
      <c r="N21" s="1"/>
    </row>
    <row r="22" spans="1:14" x14ac:dyDescent="0.3">
      <c r="A22" s="1" t="s">
        <v>213</v>
      </c>
      <c r="B22" s="7" t="s">
        <v>279</v>
      </c>
      <c r="C22" s="1"/>
      <c r="D22" s="1"/>
      <c r="E22" s="1"/>
      <c r="F22" s="1"/>
      <c r="G22" s="1"/>
      <c r="H22" s="1"/>
      <c r="I22" s="1"/>
      <c r="J22" s="1"/>
      <c r="K22" s="1"/>
      <c r="L22" s="1"/>
      <c r="M22" s="1"/>
    </row>
    <row r="23" spans="1:14" x14ac:dyDescent="0.3">
      <c r="A23" s="1" t="s">
        <v>214</v>
      </c>
      <c r="B23" s="7" t="s">
        <v>280</v>
      </c>
      <c r="C23" s="1"/>
      <c r="D23" s="1"/>
      <c r="E23" s="1"/>
      <c r="F23" s="1"/>
      <c r="G23" s="1"/>
      <c r="H23" s="1"/>
      <c r="I23" s="1"/>
      <c r="J23" s="1"/>
      <c r="K23" s="1"/>
      <c r="L23" s="1"/>
    </row>
    <row r="24" spans="1:14" x14ac:dyDescent="0.3">
      <c r="A24" s="1" t="s">
        <v>215</v>
      </c>
      <c r="B24" s="7" t="s">
        <v>281</v>
      </c>
      <c r="C24" s="1"/>
      <c r="D24" s="1"/>
      <c r="E24" s="1"/>
      <c r="F24" s="1"/>
      <c r="G24" s="1"/>
      <c r="H24" s="1"/>
      <c r="I24" s="1"/>
      <c r="J24" s="1"/>
      <c r="K24" s="1"/>
    </row>
    <row r="25" spans="1:14" x14ac:dyDescent="0.3">
      <c r="A25" s="1" t="s">
        <v>216</v>
      </c>
      <c r="B25" s="7" t="s">
        <v>282</v>
      </c>
      <c r="C25" s="1"/>
      <c r="D25" s="1"/>
      <c r="E25" s="1"/>
      <c r="F25" s="1"/>
      <c r="G25" s="1"/>
      <c r="H25" s="1"/>
      <c r="I25" s="1"/>
      <c r="J25" s="1"/>
    </row>
    <row r="26" spans="1:14" x14ac:dyDescent="0.3">
      <c r="A26" s="1" t="s">
        <v>220</v>
      </c>
      <c r="B26" s="7" t="s">
        <v>283</v>
      </c>
      <c r="C26" s="1"/>
      <c r="D26" s="1"/>
      <c r="E26" s="1"/>
      <c r="F26" s="1"/>
      <c r="G26" s="1"/>
      <c r="H26" s="1"/>
      <c r="I26" s="1"/>
    </row>
    <row r="27" spans="1:14" x14ac:dyDescent="0.3">
      <c r="A27" s="1" t="s">
        <v>217</v>
      </c>
      <c r="B27" s="7" t="s">
        <v>284</v>
      </c>
      <c r="C27" s="1"/>
      <c r="D27" s="1"/>
      <c r="E27" s="1"/>
      <c r="F27" s="1"/>
      <c r="G27" s="1"/>
      <c r="H27" s="1"/>
    </row>
    <row r="28" spans="1:14" x14ac:dyDescent="0.3">
      <c r="A28" s="1" t="s">
        <v>218</v>
      </c>
      <c r="B28" s="7" t="s">
        <v>285</v>
      </c>
      <c r="C28" s="1"/>
      <c r="D28" s="1"/>
      <c r="E28" s="1"/>
      <c r="F28" s="1"/>
      <c r="G28" s="1"/>
    </row>
    <row r="29" spans="1:14" x14ac:dyDescent="0.3">
      <c r="A29" s="1" t="s">
        <v>219</v>
      </c>
      <c r="B29" s="7" t="s">
        <v>286</v>
      </c>
      <c r="C29" s="1"/>
      <c r="D29" s="1"/>
      <c r="E29" s="1"/>
      <c r="F29" s="1"/>
    </row>
    <row r="30" spans="1:14" x14ac:dyDescent="0.3">
      <c r="A30" s="1" t="s">
        <v>221</v>
      </c>
      <c r="B30" s="7" t="s">
        <v>287</v>
      </c>
      <c r="C30" s="1"/>
      <c r="D30" s="1"/>
      <c r="E30" s="1"/>
    </row>
    <row r="31" spans="1:14" x14ac:dyDescent="0.3">
      <c r="A31" s="1" t="s">
        <v>222</v>
      </c>
      <c r="B31" s="7" t="s">
        <v>288</v>
      </c>
      <c r="C31" s="1"/>
      <c r="D31" s="1"/>
    </row>
    <row r="32" spans="1:14" x14ac:dyDescent="0.3">
      <c r="A32" s="1" t="s">
        <v>223</v>
      </c>
      <c r="B32" s="7" t="s">
        <v>289</v>
      </c>
      <c r="C32" s="1"/>
    </row>
    <row r="33" spans="1:2" x14ac:dyDescent="0.3">
      <c r="A33" s="1" t="s">
        <v>224</v>
      </c>
      <c r="B33" s="7" t="s">
        <v>290</v>
      </c>
    </row>
    <row r="34" spans="1:2" x14ac:dyDescent="0.3">
      <c r="A34" s="1" t="s">
        <v>225</v>
      </c>
      <c r="B34" s="7"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Non-Experimental</vt:lpstr>
      <vt:lpstr>Experimental</vt:lpstr>
      <vt:lpstr>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A Catlin</dc:creator>
  <cp:lastModifiedBy>Tom Smith</cp:lastModifiedBy>
  <dcterms:created xsi:type="dcterms:W3CDTF">2026-02-10T15:42:57Z</dcterms:created>
  <dcterms:modified xsi:type="dcterms:W3CDTF">2026-03-06T02:41:10Z</dcterms:modified>
</cp:coreProperties>
</file>