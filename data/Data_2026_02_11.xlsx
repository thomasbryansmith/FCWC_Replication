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Tom Smith\Desktop\FCWC_response\data\"/>
    </mc:Choice>
  </mc:AlternateContent>
  <xr:revisionPtr revIDLastSave="0" documentId="13_ncr:1_{2BC45B37-12E8-4301-8CD5-C87200C5BBA6}" xr6:coauthVersionLast="47" xr6:coauthVersionMax="47" xr10:uidLastSave="{00000000-0000-0000-0000-000000000000}"/>
  <bookViews>
    <workbookView xWindow="9732" yWindow="0" windowWidth="21108" windowHeight="15612" xr2:uid="{24CC9418-2D2B-9B47-A013-6F7BE73076C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12" i="1" l="1"/>
  <c r="N213" i="1"/>
  <c r="N214" i="1"/>
  <c r="N211" i="1"/>
  <c r="N210" i="1"/>
  <c r="N209" i="1"/>
  <c r="N208" i="1"/>
  <c r="N207" i="1"/>
  <c r="N206" i="1"/>
  <c r="N201" i="1"/>
  <c r="N200" i="1"/>
  <c r="N199" i="1"/>
  <c r="N198" i="1"/>
  <c r="N197" i="1"/>
  <c r="N196" i="1"/>
  <c r="N195" i="1"/>
  <c r="N194" i="1"/>
  <c r="N193" i="1"/>
  <c r="N192" i="1"/>
  <c r="N191" i="1"/>
  <c r="N190" i="1"/>
  <c r="N189" i="1"/>
  <c r="N188" i="1"/>
  <c r="N187" i="1"/>
  <c r="N186" i="1"/>
  <c r="N185" i="1"/>
  <c r="N184" i="1"/>
  <c r="N183" i="1"/>
  <c r="N179" i="1"/>
  <c r="N178" i="1"/>
  <c r="N177" i="1"/>
  <c r="N176" i="1"/>
  <c r="N175" i="1"/>
  <c r="N167" i="1"/>
  <c r="N168" i="1"/>
  <c r="N169" i="1"/>
  <c r="N170" i="1"/>
  <c r="N171" i="1"/>
  <c r="N172" i="1"/>
  <c r="N173" i="1"/>
  <c r="N16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26"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88" i="1"/>
  <c r="N87" i="1"/>
  <c r="N86"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47" i="1"/>
  <c r="N46" i="1"/>
  <c r="N39" i="1"/>
  <c r="N40" i="1"/>
  <c r="N41" i="1"/>
  <c r="N42" i="1"/>
  <c r="N43" i="1"/>
  <c r="N44" i="1"/>
  <c r="N45" i="1"/>
  <c r="N38" i="1"/>
  <c r="N37" i="1"/>
  <c r="N3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6" i="1"/>
  <c r="N4" i="1"/>
  <c r="N5" i="1"/>
  <c r="N3" i="1"/>
  <c r="N2" i="1"/>
  <c r="O214" i="1"/>
  <c r="O213" i="1"/>
  <c r="O212" i="1"/>
  <c r="O211" i="1"/>
  <c r="O210" i="1"/>
  <c r="O209" i="1"/>
  <c r="O208" i="1"/>
  <c r="O207" i="1"/>
  <c r="O206" i="1"/>
  <c r="O205" i="1"/>
  <c r="O204" i="1"/>
  <c r="O203" i="1"/>
  <c r="O202" i="1"/>
  <c r="O201" i="1"/>
  <c r="O200" i="1"/>
  <c r="O199" i="1"/>
  <c r="O198" i="1"/>
  <c r="O197" i="1"/>
  <c r="O196" i="1"/>
  <c r="O195" i="1"/>
  <c r="O194" i="1"/>
  <c r="O193" i="1"/>
  <c r="O192" i="1"/>
  <c r="O191" i="1"/>
  <c r="O190" i="1"/>
  <c r="O189" i="1"/>
</calcChain>
</file>

<file path=xl/sharedStrings.xml><?xml version="1.0" encoding="utf-8"?>
<sst xmlns="http://schemas.openxmlformats.org/spreadsheetml/2006/main" count="1975" uniqueCount="176">
  <si>
    <t>DataYear</t>
  </si>
  <si>
    <t>Included</t>
  </si>
  <si>
    <t>Estimate</t>
  </si>
  <si>
    <t>Huff et al. (1986)</t>
  </si>
  <si>
    <t>Yes</t>
  </si>
  <si>
    <t>Error</t>
  </si>
  <si>
    <t>RF2007_national</t>
  </si>
  <si>
    <t>RF2007_local</t>
  </si>
  <si>
    <t>ZSK2008_local</t>
  </si>
  <si>
    <t>ZSK2008_national</t>
  </si>
  <si>
    <t>LHR2019</t>
  </si>
  <si>
    <t>Cassell &amp; Hayman (1996)</t>
  </si>
  <si>
    <t>Welsh et al. (2017)</t>
  </si>
  <si>
    <t>Bedau (1987)</t>
  </si>
  <si>
    <t>Connors (1996)</t>
  </si>
  <si>
    <t>NRE (2025)</t>
  </si>
  <si>
    <t>IP (1993-2019)</t>
  </si>
  <si>
    <t>Cassell (1997)</t>
  </si>
  <si>
    <t>Huff (1996)</t>
  </si>
  <si>
    <t>FCshare</t>
  </si>
  <si>
    <t>%error</t>
  </si>
  <si>
    <t>nerror</t>
  </si>
  <si>
    <t>weight</t>
  </si>
  <si>
    <t>StudyYear</t>
  </si>
  <si>
    <t>notes</t>
  </si>
  <si>
    <t>Found a report, but they cite a book?</t>
  </si>
  <si>
    <t>MAref</t>
  </si>
  <si>
    <t>Ref</t>
  </si>
  <si>
    <t>Allen &amp; Laudan (2008)</t>
  </si>
  <si>
    <t>No</t>
  </si>
  <si>
    <t>independent</t>
  </si>
  <si>
    <t>shareddata</t>
  </si>
  <si>
    <t>no</t>
  </si>
  <si>
    <t>used data from Risinger and Garrett</t>
  </si>
  <si>
    <t>Zalman et al. (2008)</t>
  </si>
  <si>
    <t>&lt;.5</t>
  </si>
  <si>
    <t>.5-&lt;1</t>
  </si>
  <si>
    <t>1 to 3</t>
  </si>
  <si>
    <t>4 to 5</t>
  </si>
  <si>
    <t>6 to 10</t>
  </si>
  <si>
    <t>Participants</t>
  </si>
  <si>
    <t>Police</t>
  </si>
  <si>
    <t>.5-1</t>
  </si>
  <si>
    <t>N</t>
  </si>
  <si>
    <t>Prosecutors</t>
  </si>
  <si>
    <t>Defense att</t>
  </si>
  <si>
    <t>11 to 15</t>
  </si>
  <si>
    <t>16 to 20</t>
  </si>
  <si>
    <t>21 to 25</t>
  </si>
  <si>
    <t>&gt;25</t>
  </si>
  <si>
    <t>Judges</t>
  </si>
  <si>
    <t>estimates of local and national from same participants</t>
  </si>
  <si>
    <t>survey - LE</t>
  </si>
  <si>
    <t>Walsh et al. (2017)</t>
  </si>
  <si>
    <t>secondary</t>
  </si>
  <si>
    <t>Location</t>
  </si>
  <si>
    <t>Michigan</t>
  </si>
  <si>
    <t>National</t>
  </si>
  <si>
    <t>Virginia</t>
  </si>
  <si>
    <t>yes</t>
  </si>
  <si>
    <t>1973-1987</t>
  </si>
  <si>
    <t>recoded data presented in Roman et al.</t>
  </si>
  <si>
    <t>Thomas (2018)</t>
  </si>
  <si>
    <t>North Carolina</t>
  </si>
  <si>
    <t>2007-2016</t>
  </si>
  <si>
    <t>used same data as Cassell (2018, 2018b)</t>
  </si>
  <si>
    <t>based on exonerations from NCIP</t>
  </si>
  <si>
    <t>based on applications to NCIP</t>
  </si>
  <si>
    <t>based on eligible applications to NCIP</t>
  </si>
  <si>
    <t>based on eligible applications to NCIP adjusted by estimates of false applications and innocents who don't file</t>
  </si>
  <si>
    <t>Roman et al. (2012)</t>
  </si>
  <si>
    <t>used same data as Walsh et al.</t>
  </si>
  <si>
    <t>homicides and sexual assault, supports exoneration</t>
  </si>
  <si>
    <t>sexual assault, supports exoneration</t>
  </si>
  <si>
    <t>sexual assault, insufficient but exculpatory</t>
  </si>
  <si>
    <t>homicides and sexual assault, insufficient but exculpatory</t>
  </si>
  <si>
    <t>sexual assault where DNA was determinate, supportive of exoneration</t>
  </si>
  <si>
    <t>Risinger (2007)</t>
  </si>
  <si>
    <t>1977-1999</t>
  </si>
  <si>
    <t>combined into the Allen &amp; Lauden estimates</t>
  </si>
  <si>
    <t>1982-1989</t>
  </si>
  <si>
    <t>all DNA exonerations/death sentences</t>
  </si>
  <si>
    <t>adjusted DNA exonerations (rape-murders)/death sentences</t>
  </si>
  <si>
    <t>adjusted DNA exonerations (rape-murders)/rape-murder death sentences</t>
  </si>
  <si>
    <t>adjusted DNA exonerations (rape-murders)/rape-murder death sentences with DNA</t>
  </si>
  <si>
    <t>Redlich et al. (2010)</t>
  </si>
  <si>
    <t>6 US sites</t>
  </si>
  <si>
    <t>survey - offenders</t>
  </si>
  <si>
    <t>Ramsey &amp; Frank (2007)</t>
  </si>
  <si>
    <t>Ohio</t>
  </si>
  <si>
    <t>Poveda (2001)</t>
  </si>
  <si>
    <t>Michigan, California, Texas</t>
  </si>
  <si>
    <t>Loeffler et al. (2019)</t>
  </si>
  <si>
    <t>Offenders</t>
  </si>
  <si>
    <t>Offenders with mental illness</t>
  </si>
  <si>
    <t>Pennsylvania</t>
  </si>
  <si>
    <t>2015-2016</t>
  </si>
  <si>
    <t>"I didn't do any of the crimes they convicted me of"</t>
  </si>
  <si>
    <t>"I didn't do everything they convicted me of"</t>
  </si>
  <si>
    <t>"I did what they convicted me of, but I didn't mean to do it"</t>
  </si>
  <si>
    <t>"I did what they convicted me of, but I wasn't as involved as they said I was"</t>
  </si>
  <si>
    <t>"I did what they convicted me of, but I didn't get a fair trial"</t>
  </si>
  <si>
    <t>"I did what thy convicted me of, but the case against me was weak"</t>
  </si>
  <si>
    <t>Other reason</t>
  </si>
  <si>
    <t>adjusted factual innocence by estimation of false claims</t>
  </si>
  <si>
    <t>Kassin et al. (2007)</t>
  </si>
  <si>
    <t>5 US states and 2 CA provinces</t>
  </si>
  <si>
    <t>"provide some form of confession"</t>
  </si>
  <si>
    <t>prior estimate with outliers removed</t>
  </si>
  <si>
    <t>first estimate - outliers, partial admission</t>
  </si>
  <si>
    <t>first estimate - outliers, full admission</t>
  </si>
  <si>
    <t>National, but Ohio mostly</t>
  </si>
  <si>
    <t>Police, Prosecutors, Defense att, Judges</t>
  </si>
  <si>
    <t>&lt;1</t>
  </si>
  <si>
    <t>1 to 5</t>
  </si>
  <si>
    <t>Hoffman (2007)</t>
  </si>
  <si>
    <t>assuming juries are 80% accurate</t>
  </si>
  <si>
    <t>including 1/100 false guilty pleas</t>
  </si>
  <si>
    <t>making denominator 2 mil based on 20 yrs of innocence data</t>
  </si>
  <si>
    <t>Conneticut</t>
  </si>
  <si>
    <t>Community/college students</t>
  </si>
  <si>
    <t>Henkel et al. (2008a)</t>
  </si>
  <si>
    <t>survey - public</t>
  </si>
  <si>
    <t>Gross et al. (2014)</t>
  </si>
  <si>
    <t>1973-2004</t>
  </si>
  <si>
    <t>expanded Gross and O'Brien with public records</t>
  </si>
  <si>
    <t>based only on Death Penalty Information Center</t>
  </si>
  <si>
    <t>estimating beyond official exoneration</t>
  </si>
  <si>
    <t>Gross &amp; O'Brien (2008)</t>
  </si>
  <si>
    <t>bin</t>
  </si>
  <si>
    <t>nbin</t>
  </si>
  <si>
    <t>used in Gross et al.</t>
  </si>
  <si>
    <t>Costanzo et al. (2010)</t>
  </si>
  <si>
    <t>Community</t>
  </si>
  <si>
    <t>7 US cities</t>
  </si>
  <si>
    <t>theft cases</t>
  </si>
  <si>
    <t>rape cases</t>
  </si>
  <si>
    <t>child molestation cases</t>
  </si>
  <si>
    <t>murder cases</t>
  </si>
  <si>
    <t>Connors et al. (1996)</t>
  </si>
  <si>
    <t>1979-1991</t>
  </si>
  <si>
    <t>14 states + DC</t>
  </si>
  <si>
    <t>Cassell (2018b)</t>
  </si>
  <si>
    <t>re-analyzed from Thomas</t>
  </si>
  <si>
    <t>1989-2026</t>
  </si>
  <si>
    <t>Accessed 2/11/26</t>
  </si>
  <si>
    <t>IP (2026)</t>
  </si>
  <si>
    <t>NRE (2026)</t>
  </si>
  <si>
    <t>1989-2025</t>
  </si>
  <si>
    <t>Not sure what their dates are for</t>
  </si>
  <si>
    <t>conceptual</t>
  </si>
  <si>
    <t>Utah</t>
  </si>
  <si>
    <t>1986-2018</t>
  </si>
  <si>
    <t>.017-.066</t>
  </si>
  <si>
    <t>Cassell (2018a)</t>
  </si>
  <si>
    <t>.016-.062</t>
  </si>
  <si>
    <t>Cassell &amp; Hayman (1995)</t>
  </si>
  <si>
    <t>I have no idea how they coded this. They coded 219 cases for Miranda, confession, etc. There is no ground truth, no case outcomes, and no perceptions. It seems the assumption is made that because 219 cases were screened = 219 true convictions</t>
  </si>
  <si>
    <t>Bedau &amp; Radelet (1987)</t>
  </si>
  <si>
    <t>1900-1985</t>
  </si>
  <si>
    <t>comments about use</t>
  </si>
  <si>
    <t>this is the estimate used by Zalman &amp; Norris (2021) and M&amp;A</t>
  </si>
  <si>
    <t>authors did not provide estimates by title</t>
  </si>
  <si>
    <t>separated by role, just in case we decide to do something with that</t>
  </si>
  <si>
    <t>I would argue this shouldn't be included</t>
  </si>
  <si>
    <t>Probably shouldn't include these conceptual ones, but we have them just in case</t>
  </si>
  <si>
    <t>This is a book I do not own</t>
  </si>
  <si>
    <t>Could make an argument to only use the average of supportive numbers, could argue to use it all. Z&amp;N report a range of 8-15%</t>
  </si>
  <si>
    <t>This is the estimate the authors themselves argue for</t>
  </si>
  <si>
    <t>I would argue either for the first or second estimate. Could even average them</t>
  </si>
  <si>
    <t>Would average across if we decide to use public estimates</t>
  </si>
  <si>
    <t>Not sure if we want to use public estimates</t>
  </si>
  <si>
    <t>p_est</t>
  </si>
  <si>
    <t>missing</t>
  </si>
  <si>
    <t>n</t>
  </si>
  <si>
    <t>Tom: 0 was not reported in the data I received, so I assume nobody gave this response. I imputed it without verifying against the paper.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</si>
</sst>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scheme val="minor"/>
    </font>
    <font>
      <sz val="12"/>
      <color rgb="FF000000"/>
      <name val="Aptos Narrow"/>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2" fillId="0" borderId="0" xfId="0" applyFont="1"/>
    <xf numFmtId="0" fontId="0" fillId="2" borderId="0" xfId="0" applyFill="1"/>
    <xf numFmtId="0" fontId="2" fillId="2" borderId="0" xfId="0" applyFont="1" applyFill="1"/>
    <xf numFmtId="16" fontId="0" fillId="2" borderId="0" xfId="0" applyNumberFormat="1" applyFill="1"/>
    <xf numFmtId="16" fontId="0" fillId="0" borderId="0" xfId="0" applyNumberFormat="1"/>
    <xf numFmtId="0" fontId="0" fillId="0" borderId="0" xfId="0" applyFill="1"/>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5F1BB-51AF-5E4A-B2E6-6CB5C46F8500}">
  <dimension ref="A1:T217"/>
  <sheetViews>
    <sheetView tabSelected="1" topLeftCell="H1" zoomScale="97" zoomScaleNormal="97" workbookViewId="0">
      <pane ySplit="1" topLeftCell="A5" activePane="bottomLeft" state="frozen"/>
      <selection pane="bottomLeft" activeCell="F183" sqref="A183:XFD186"/>
    </sheetView>
  </sheetViews>
  <sheetFormatPr defaultColWidth="11.19921875" defaultRowHeight="15.6" x14ac:dyDescent="0.3"/>
  <cols>
    <col min="1" max="1" width="21" customWidth="1"/>
    <col min="2" max="2" width="22.296875" customWidth="1"/>
    <col min="3" max="3" width="21" customWidth="1"/>
    <col min="7" max="7" width="30.5" customWidth="1"/>
    <col min="8" max="8" width="34" customWidth="1"/>
    <col min="16" max="16" width="16.796875" customWidth="1"/>
    <col min="18" max="18" width="38.19921875" customWidth="1"/>
  </cols>
  <sheetData>
    <row r="1" spans="1:20" s="1" customFormat="1" x14ac:dyDescent="0.3">
      <c r="A1" s="1" t="s">
        <v>26</v>
      </c>
      <c r="B1" s="1" t="s">
        <v>27</v>
      </c>
      <c r="C1" s="1" t="s">
        <v>23</v>
      </c>
      <c r="D1" s="1" t="s">
        <v>0</v>
      </c>
      <c r="E1" s="1" t="s">
        <v>1</v>
      </c>
      <c r="F1" s="1" t="s">
        <v>2</v>
      </c>
      <c r="G1" s="1" t="s">
        <v>55</v>
      </c>
      <c r="H1" s="1" t="s">
        <v>40</v>
      </c>
      <c r="I1" s="1" t="s">
        <v>43</v>
      </c>
      <c r="J1" s="1" t="s">
        <v>129</v>
      </c>
      <c r="K1" s="1" t="s">
        <v>130</v>
      </c>
      <c r="L1" s="1" t="s">
        <v>20</v>
      </c>
      <c r="M1" s="1" t="s">
        <v>21</v>
      </c>
      <c r="N1" s="1" t="s">
        <v>174</v>
      </c>
      <c r="O1" s="1" t="s">
        <v>172</v>
      </c>
      <c r="P1" s="1" t="s">
        <v>22</v>
      </c>
      <c r="Q1" s="1" t="s">
        <v>30</v>
      </c>
      <c r="R1" s="1" t="s">
        <v>31</v>
      </c>
      <c r="S1" s="1" t="s">
        <v>24</v>
      </c>
      <c r="T1" s="1" t="s">
        <v>160</v>
      </c>
    </row>
    <row r="2" spans="1:20" s="3" customFormat="1" x14ac:dyDescent="0.3">
      <c r="A2" s="3" t="s">
        <v>3</v>
      </c>
      <c r="B2" s="3" t="s">
        <v>3</v>
      </c>
      <c r="C2" s="3">
        <v>1986</v>
      </c>
      <c r="E2" s="3" t="s">
        <v>4</v>
      </c>
      <c r="F2" s="3" t="s">
        <v>5</v>
      </c>
      <c r="G2" s="3" t="s">
        <v>111</v>
      </c>
      <c r="H2" s="3" t="s">
        <v>112</v>
      </c>
      <c r="I2" s="3">
        <v>229</v>
      </c>
      <c r="J2" s="3">
        <v>0</v>
      </c>
      <c r="K2" s="3">
        <v>10</v>
      </c>
      <c r="N2" s="3">
        <f>K2</f>
        <v>10</v>
      </c>
      <c r="O2" s="3">
        <v>0</v>
      </c>
      <c r="P2" s="3" t="s">
        <v>52</v>
      </c>
      <c r="Q2" s="3" t="s">
        <v>59</v>
      </c>
      <c r="S2" s="3" t="s">
        <v>162</v>
      </c>
    </row>
    <row r="3" spans="1:20" s="3" customFormat="1" x14ac:dyDescent="0.3">
      <c r="A3" s="3" t="s">
        <v>3</v>
      </c>
      <c r="B3" s="3" t="s">
        <v>3</v>
      </c>
      <c r="C3" s="3">
        <v>1986</v>
      </c>
      <c r="E3" s="3" t="s">
        <v>4</v>
      </c>
      <c r="F3" s="3" t="s">
        <v>5</v>
      </c>
      <c r="G3" s="3" t="s">
        <v>111</v>
      </c>
      <c r="H3" s="3" t="s">
        <v>112</v>
      </c>
      <c r="I3" s="3">
        <v>229</v>
      </c>
      <c r="J3" s="3" t="s">
        <v>113</v>
      </c>
      <c r="K3" s="3">
        <v>127</v>
      </c>
      <c r="N3" s="3">
        <f>K3</f>
        <v>127</v>
      </c>
      <c r="O3" s="3">
        <v>5.0000000000000001E-3</v>
      </c>
      <c r="P3" s="3" t="s">
        <v>52</v>
      </c>
      <c r="Q3" s="3" t="s">
        <v>59</v>
      </c>
    </row>
    <row r="4" spans="1:20" s="3" customFormat="1" x14ac:dyDescent="0.3">
      <c r="A4" s="3" t="s">
        <v>3</v>
      </c>
      <c r="B4" s="3" t="s">
        <v>3</v>
      </c>
      <c r="C4" s="3">
        <v>1986</v>
      </c>
      <c r="E4" s="3" t="s">
        <v>4</v>
      </c>
      <c r="F4" s="3" t="s">
        <v>5</v>
      </c>
      <c r="G4" s="3" t="s">
        <v>111</v>
      </c>
      <c r="H4" s="3" t="s">
        <v>112</v>
      </c>
      <c r="I4" s="3">
        <v>229</v>
      </c>
      <c r="J4" s="3" t="s">
        <v>114</v>
      </c>
      <c r="K4" s="3">
        <v>36</v>
      </c>
      <c r="N4" s="3">
        <f t="shared" ref="N4:N5" si="0">K4</f>
        <v>36</v>
      </c>
      <c r="O4" s="3">
        <v>0.03</v>
      </c>
      <c r="P4" s="3" t="s">
        <v>52</v>
      </c>
      <c r="Q4" s="3" t="s">
        <v>59</v>
      </c>
    </row>
    <row r="5" spans="1:20" s="3" customFormat="1" x14ac:dyDescent="0.3">
      <c r="A5" s="3" t="s">
        <v>3</v>
      </c>
      <c r="B5" s="3" t="s">
        <v>3</v>
      </c>
      <c r="C5" s="3">
        <v>1986</v>
      </c>
      <c r="E5" s="3" t="s">
        <v>4</v>
      </c>
      <c r="F5" s="3" t="s">
        <v>5</v>
      </c>
      <c r="G5" s="3" t="s">
        <v>111</v>
      </c>
      <c r="H5" s="3" t="s">
        <v>112</v>
      </c>
      <c r="I5" s="3">
        <v>229</v>
      </c>
      <c r="J5" s="3" t="s">
        <v>39</v>
      </c>
      <c r="K5" s="3">
        <v>4</v>
      </c>
      <c r="N5" s="3">
        <f t="shared" si="0"/>
        <v>4</v>
      </c>
      <c r="O5" s="3">
        <v>0.08</v>
      </c>
      <c r="P5" s="3" t="s">
        <v>52</v>
      </c>
      <c r="Q5" s="3" t="s">
        <v>59</v>
      </c>
    </row>
    <row r="6" spans="1:20" x14ac:dyDescent="0.3">
      <c r="A6" t="s">
        <v>6</v>
      </c>
      <c r="B6" t="s">
        <v>88</v>
      </c>
      <c r="C6">
        <v>2007</v>
      </c>
      <c r="E6" t="s">
        <v>4</v>
      </c>
      <c r="F6" t="s">
        <v>5</v>
      </c>
      <c r="G6" t="s">
        <v>89</v>
      </c>
      <c r="H6" t="s">
        <v>41</v>
      </c>
      <c r="I6">
        <v>267</v>
      </c>
      <c r="J6">
        <v>0</v>
      </c>
      <c r="K6">
        <v>3</v>
      </c>
      <c r="N6" s="7">
        <f>K6</f>
        <v>3</v>
      </c>
      <c r="O6" s="7">
        <v>0</v>
      </c>
      <c r="P6" t="s">
        <v>52</v>
      </c>
      <c r="Q6" t="s">
        <v>32</v>
      </c>
      <c r="R6" t="s">
        <v>51</v>
      </c>
      <c r="T6" t="s">
        <v>163</v>
      </c>
    </row>
    <row r="7" spans="1:20" x14ac:dyDescent="0.3">
      <c r="A7" t="s">
        <v>6</v>
      </c>
      <c r="B7" t="s">
        <v>88</v>
      </c>
      <c r="C7">
        <v>2007</v>
      </c>
      <c r="E7" t="s">
        <v>4</v>
      </c>
      <c r="F7" t="s">
        <v>5</v>
      </c>
      <c r="G7" t="s">
        <v>89</v>
      </c>
      <c r="H7" t="s">
        <v>41</v>
      </c>
      <c r="I7">
        <v>267</v>
      </c>
      <c r="J7" t="s">
        <v>35</v>
      </c>
      <c r="K7">
        <v>57</v>
      </c>
      <c r="N7" s="7">
        <f t="shared" ref="N7:N35" si="1">K7</f>
        <v>57</v>
      </c>
      <c r="O7" s="7">
        <v>2.5000000000000001E-3</v>
      </c>
      <c r="P7" t="s">
        <v>52</v>
      </c>
      <c r="Q7" t="s">
        <v>32</v>
      </c>
    </row>
    <row r="8" spans="1:20" x14ac:dyDescent="0.3">
      <c r="A8" t="s">
        <v>6</v>
      </c>
      <c r="B8" t="s">
        <v>88</v>
      </c>
      <c r="C8">
        <v>2007</v>
      </c>
      <c r="E8" t="s">
        <v>4</v>
      </c>
      <c r="F8" t="s">
        <v>5</v>
      </c>
      <c r="G8" t="s">
        <v>89</v>
      </c>
      <c r="H8" t="s">
        <v>41</v>
      </c>
      <c r="I8">
        <v>267</v>
      </c>
      <c r="J8" t="s">
        <v>42</v>
      </c>
      <c r="K8">
        <v>63</v>
      </c>
      <c r="N8" s="7">
        <f t="shared" si="1"/>
        <v>63</v>
      </c>
      <c r="O8" s="7">
        <v>7.4999999999999997E-3</v>
      </c>
      <c r="P8" t="s">
        <v>52</v>
      </c>
      <c r="Q8" t="s">
        <v>32</v>
      </c>
    </row>
    <row r="9" spans="1:20" x14ac:dyDescent="0.3">
      <c r="A9" t="s">
        <v>6</v>
      </c>
      <c r="B9" t="s">
        <v>88</v>
      </c>
      <c r="C9">
        <v>2007</v>
      </c>
      <c r="E9" t="s">
        <v>4</v>
      </c>
      <c r="F9" t="s">
        <v>5</v>
      </c>
      <c r="G9" t="s">
        <v>89</v>
      </c>
      <c r="H9" t="s">
        <v>41</v>
      </c>
      <c r="I9">
        <v>267</v>
      </c>
      <c r="J9" t="s">
        <v>37</v>
      </c>
      <c r="K9">
        <v>79</v>
      </c>
      <c r="N9" s="7">
        <f t="shared" si="1"/>
        <v>79</v>
      </c>
      <c r="O9" s="7">
        <v>0.02</v>
      </c>
      <c r="P9" t="s">
        <v>52</v>
      </c>
      <c r="Q9" t="s">
        <v>32</v>
      </c>
    </row>
    <row r="10" spans="1:20" x14ac:dyDescent="0.3">
      <c r="A10" t="s">
        <v>6</v>
      </c>
      <c r="B10" t="s">
        <v>88</v>
      </c>
      <c r="C10">
        <v>2007</v>
      </c>
      <c r="E10" t="s">
        <v>4</v>
      </c>
      <c r="F10" t="s">
        <v>5</v>
      </c>
      <c r="G10" t="s">
        <v>89</v>
      </c>
      <c r="H10" t="s">
        <v>41</v>
      </c>
      <c r="I10">
        <v>267</v>
      </c>
      <c r="J10" t="s">
        <v>38</v>
      </c>
      <c r="K10">
        <v>38</v>
      </c>
      <c r="N10" s="7">
        <f t="shared" si="1"/>
        <v>38</v>
      </c>
      <c r="O10" s="7">
        <v>4.4999999999999998E-2</v>
      </c>
      <c r="P10" t="s">
        <v>52</v>
      </c>
      <c r="Q10" t="s">
        <v>32</v>
      </c>
    </row>
    <row r="11" spans="1:20" x14ac:dyDescent="0.3">
      <c r="A11" t="s">
        <v>6</v>
      </c>
      <c r="B11" t="s">
        <v>88</v>
      </c>
      <c r="C11">
        <v>2007</v>
      </c>
      <c r="E11" t="s">
        <v>4</v>
      </c>
      <c r="F11" t="s">
        <v>5</v>
      </c>
      <c r="G11" t="s">
        <v>89</v>
      </c>
      <c r="H11" t="s">
        <v>41</v>
      </c>
      <c r="I11">
        <v>267</v>
      </c>
      <c r="J11" t="s">
        <v>39</v>
      </c>
      <c r="K11">
        <v>14</v>
      </c>
      <c r="N11" s="7">
        <f t="shared" si="1"/>
        <v>14</v>
      </c>
      <c r="O11" s="7">
        <v>0.08</v>
      </c>
      <c r="P11" t="s">
        <v>52</v>
      </c>
      <c r="Q11" t="s">
        <v>32</v>
      </c>
    </row>
    <row r="12" spans="1:20" x14ac:dyDescent="0.3">
      <c r="A12" t="s">
        <v>6</v>
      </c>
      <c r="B12" t="s">
        <v>88</v>
      </c>
      <c r="C12">
        <v>2007</v>
      </c>
      <c r="E12" t="s">
        <v>4</v>
      </c>
      <c r="F12" t="s">
        <v>5</v>
      </c>
      <c r="G12" t="s">
        <v>89</v>
      </c>
      <c r="H12" t="s">
        <v>41</v>
      </c>
      <c r="I12">
        <v>267</v>
      </c>
      <c r="J12" t="s">
        <v>46</v>
      </c>
      <c r="K12">
        <v>6</v>
      </c>
      <c r="N12" s="7">
        <f t="shared" si="1"/>
        <v>6</v>
      </c>
      <c r="O12" s="7">
        <v>0.13</v>
      </c>
      <c r="P12" t="s">
        <v>52</v>
      </c>
      <c r="Q12" t="s">
        <v>32</v>
      </c>
    </row>
    <row r="13" spans="1:20" x14ac:dyDescent="0.3">
      <c r="A13" t="s">
        <v>6</v>
      </c>
      <c r="B13" t="s">
        <v>88</v>
      </c>
      <c r="C13">
        <v>2007</v>
      </c>
      <c r="E13" t="s">
        <v>4</v>
      </c>
      <c r="F13" t="s">
        <v>5</v>
      </c>
      <c r="G13" t="s">
        <v>89</v>
      </c>
      <c r="H13" t="s">
        <v>41</v>
      </c>
      <c r="I13">
        <v>267</v>
      </c>
      <c r="J13" t="s">
        <v>47</v>
      </c>
      <c r="K13">
        <v>6</v>
      </c>
      <c r="N13" s="7">
        <f t="shared" si="1"/>
        <v>6</v>
      </c>
      <c r="O13" s="7">
        <v>0.18</v>
      </c>
      <c r="P13" t="s">
        <v>52</v>
      </c>
      <c r="Q13" t="s">
        <v>32</v>
      </c>
    </row>
    <row r="14" spans="1:20" x14ac:dyDescent="0.3">
      <c r="A14" t="s">
        <v>6</v>
      </c>
      <c r="B14" t="s">
        <v>88</v>
      </c>
      <c r="C14">
        <v>2007</v>
      </c>
      <c r="E14" t="s">
        <v>4</v>
      </c>
      <c r="F14" t="s">
        <v>5</v>
      </c>
      <c r="G14" t="s">
        <v>89</v>
      </c>
      <c r="H14" t="s">
        <v>41</v>
      </c>
      <c r="I14">
        <v>267</v>
      </c>
      <c r="J14" t="s">
        <v>48</v>
      </c>
      <c r="K14">
        <v>1</v>
      </c>
      <c r="N14" s="7">
        <f t="shared" si="1"/>
        <v>1</v>
      </c>
      <c r="O14" s="7">
        <v>0.23</v>
      </c>
      <c r="P14" t="s">
        <v>52</v>
      </c>
      <c r="Q14" t="s">
        <v>32</v>
      </c>
    </row>
    <row r="15" spans="1:20" x14ac:dyDescent="0.3">
      <c r="A15" t="s">
        <v>6</v>
      </c>
      <c r="B15" t="s">
        <v>88</v>
      </c>
      <c r="C15">
        <v>2007</v>
      </c>
      <c r="E15" t="s">
        <v>4</v>
      </c>
      <c r="F15" t="s">
        <v>5</v>
      </c>
      <c r="G15" t="s">
        <v>89</v>
      </c>
      <c r="H15" t="s">
        <v>41</v>
      </c>
      <c r="I15">
        <v>267</v>
      </c>
      <c r="J15" t="s">
        <v>49</v>
      </c>
      <c r="K15">
        <v>0</v>
      </c>
      <c r="N15" s="7">
        <f t="shared" si="1"/>
        <v>0</v>
      </c>
      <c r="O15" s="7">
        <v>0.4</v>
      </c>
      <c r="P15" t="s">
        <v>52</v>
      </c>
      <c r="Q15" t="s">
        <v>32</v>
      </c>
    </row>
    <row r="16" spans="1:20" x14ac:dyDescent="0.3">
      <c r="A16" t="s">
        <v>6</v>
      </c>
      <c r="B16" t="s">
        <v>88</v>
      </c>
      <c r="C16">
        <v>2007</v>
      </c>
      <c r="E16" t="s">
        <v>4</v>
      </c>
      <c r="F16" t="s">
        <v>5</v>
      </c>
      <c r="G16" t="s">
        <v>89</v>
      </c>
      <c r="H16" t="s">
        <v>44</v>
      </c>
      <c r="I16">
        <v>96</v>
      </c>
      <c r="J16">
        <v>0</v>
      </c>
      <c r="K16">
        <v>1</v>
      </c>
      <c r="N16" s="7">
        <f t="shared" si="1"/>
        <v>1</v>
      </c>
      <c r="O16" s="7">
        <v>0</v>
      </c>
      <c r="P16" t="s">
        <v>52</v>
      </c>
      <c r="Q16" t="s">
        <v>32</v>
      </c>
    </row>
    <row r="17" spans="1:17" x14ac:dyDescent="0.3">
      <c r="A17" t="s">
        <v>6</v>
      </c>
      <c r="B17" t="s">
        <v>88</v>
      </c>
      <c r="C17">
        <v>2007</v>
      </c>
      <c r="E17" t="s">
        <v>4</v>
      </c>
      <c r="F17" t="s">
        <v>5</v>
      </c>
      <c r="G17" t="s">
        <v>89</v>
      </c>
      <c r="H17" t="s">
        <v>44</v>
      </c>
      <c r="I17">
        <v>96</v>
      </c>
      <c r="J17" t="s">
        <v>35</v>
      </c>
      <c r="K17">
        <v>29</v>
      </c>
      <c r="N17" s="7">
        <f t="shared" si="1"/>
        <v>29</v>
      </c>
      <c r="O17" s="7">
        <v>2.5000000000000001E-3</v>
      </c>
      <c r="P17" t="s">
        <v>52</v>
      </c>
      <c r="Q17" t="s">
        <v>32</v>
      </c>
    </row>
    <row r="18" spans="1:17" x14ac:dyDescent="0.3">
      <c r="A18" t="s">
        <v>6</v>
      </c>
      <c r="B18" t="s">
        <v>88</v>
      </c>
      <c r="C18">
        <v>2007</v>
      </c>
      <c r="E18" t="s">
        <v>4</v>
      </c>
      <c r="F18" t="s">
        <v>5</v>
      </c>
      <c r="G18" t="s">
        <v>89</v>
      </c>
      <c r="H18" t="s">
        <v>44</v>
      </c>
      <c r="I18">
        <v>96</v>
      </c>
      <c r="J18" t="s">
        <v>42</v>
      </c>
      <c r="K18">
        <v>30</v>
      </c>
      <c r="N18" s="7">
        <f t="shared" si="1"/>
        <v>30</v>
      </c>
      <c r="O18" s="7">
        <v>7.4999999999999997E-3</v>
      </c>
      <c r="P18" t="s">
        <v>52</v>
      </c>
      <c r="Q18" t="s">
        <v>32</v>
      </c>
    </row>
    <row r="19" spans="1:17" x14ac:dyDescent="0.3">
      <c r="A19" t="s">
        <v>6</v>
      </c>
      <c r="B19" t="s">
        <v>88</v>
      </c>
      <c r="C19">
        <v>2007</v>
      </c>
      <c r="E19" t="s">
        <v>4</v>
      </c>
      <c r="F19" t="s">
        <v>5</v>
      </c>
      <c r="G19" t="s">
        <v>89</v>
      </c>
      <c r="H19" t="s">
        <v>44</v>
      </c>
      <c r="I19">
        <v>96</v>
      </c>
      <c r="J19" t="s">
        <v>37</v>
      </c>
      <c r="K19">
        <v>23</v>
      </c>
      <c r="N19" s="7">
        <f t="shared" si="1"/>
        <v>23</v>
      </c>
      <c r="O19" s="7">
        <v>0.03</v>
      </c>
      <c r="P19" t="s">
        <v>52</v>
      </c>
      <c r="Q19" t="s">
        <v>32</v>
      </c>
    </row>
    <row r="20" spans="1:17" x14ac:dyDescent="0.3">
      <c r="A20" t="s">
        <v>6</v>
      </c>
      <c r="B20" t="s">
        <v>88</v>
      </c>
      <c r="C20">
        <v>2007</v>
      </c>
      <c r="E20" t="s">
        <v>4</v>
      </c>
      <c r="F20" t="s">
        <v>5</v>
      </c>
      <c r="G20" t="s">
        <v>89</v>
      </c>
      <c r="H20" t="s">
        <v>44</v>
      </c>
      <c r="I20">
        <v>96</v>
      </c>
      <c r="J20" t="s">
        <v>38</v>
      </c>
      <c r="K20">
        <v>10</v>
      </c>
      <c r="N20" s="7">
        <f t="shared" si="1"/>
        <v>10</v>
      </c>
      <c r="O20" s="7">
        <v>4.4999999999999998E-2</v>
      </c>
      <c r="P20" t="s">
        <v>52</v>
      </c>
      <c r="Q20" t="s">
        <v>32</v>
      </c>
    </row>
    <row r="21" spans="1:17" x14ac:dyDescent="0.3">
      <c r="A21" t="s">
        <v>6</v>
      </c>
      <c r="B21" t="s">
        <v>88</v>
      </c>
      <c r="C21">
        <v>2007</v>
      </c>
      <c r="E21" t="s">
        <v>4</v>
      </c>
      <c r="F21" t="s">
        <v>5</v>
      </c>
      <c r="G21" t="s">
        <v>89</v>
      </c>
      <c r="H21" t="s">
        <v>44</v>
      </c>
      <c r="I21">
        <v>96</v>
      </c>
      <c r="J21" t="s">
        <v>39</v>
      </c>
      <c r="K21">
        <v>1</v>
      </c>
      <c r="N21" s="7">
        <f t="shared" si="1"/>
        <v>1</v>
      </c>
      <c r="O21" s="7">
        <v>0.08</v>
      </c>
      <c r="P21" t="s">
        <v>52</v>
      </c>
      <c r="Q21" t="s">
        <v>32</v>
      </c>
    </row>
    <row r="22" spans="1:17" x14ac:dyDescent="0.3">
      <c r="A22" t="s">
        <v>6</v>
      </c>
      <c r="B22" t="s">
        <v>88</v>
      </c>
      <c r="C22">
        <v>2007</v>
      </c>
      <c r="E22" t="s">
        <v>4</v>
      </c>
      <c r="F22" t="s">
        <v>5</v>
      </c>
      <c r="G22" t="s">
        <v>89</v>
      </c>
      <c r="H22" t="s">
        <v>44</v>
      </c>
      <c r="I22">
        <v>96</v>
      </c>
      <c r="J22" t="s">
        <v>46</v>
      </c>
      <c r="K22">
        <v>2</v>
      </c>
      <c r="N22" s="7">
        <f t="shared" si="1"/>
        <v>2</v>
      </c>
      <c r="O22" s="7">
        <v>0.13</v>
      </c>
      <c r="P22" t="s">
        <v>52</v>
      </c>
      <c r="Q22" t="s">
        <v>32</v>
      </c>
    </row>
    <row r="23" spans="1:17" x14ac:dyDescent="0.3">
      <c r="A23" t="s">
        <v>6</v>
      </c>
      <c r="B23" t="s">
        <v>88</v>
      </c>
      <c r="C23">
        <v>2007</v>
      </c>
      <c r="E23" t="s">
        <v>4</v>
      </c>
      <c r="F23" t="s">
        <v>5</v>
      </c>
      <c r="G23" t="s">
        <v>89</v>
      </c>
      <c r="H23" t="s">
        <v>44</v>
      </c>
      <c r="I23">
        <v>96</v>
      </c>
      <c r="J23" t="s">
        <v>47</v>
      </c>
      <c r="K23">
        <v>0</v>
      </c>
      <c r="N23" s="7">
        <f t="shared" si="1"/>
        <v>0</v>
      </c>
      <c r="O23" s="7">
        <v>0.18</v>
      </c>
      <c r="P23" t="s">
        <v>52</v>
      </c>
      <c r="Q23" t="s">
        <v>32</v>
      </c>
    </row>
    <row r="24" spans="1:17" x14ac:dyDescent="0.3">
      <c r="A24" t="s">
        <v>6</v>
      </c>
      <c r="B24" t="s">
        <v>88</v>
      </c>
      <c r="C24">
        <v>2007</v>
      </c>
      <c r="E24" t="s">
        <v>4</v>
      </c>
      <c r="F24" t="s">
        <v>5</v>
      </c>
      <c r="G24" t="s">
        <v>89</v>
      </c>
      <c r="H24" t="s">
        <v>44</v>
      </c>
      <c r="I24">
        <v>96</v>
      </c>
      <c r="J24" t="s">
        <v>48</v>
      </c>
      <c r="K24">
        <v>0</v>
      </c>
      <c r="N24" s="7">
        <f t="shared" si="1"/>
        <v>0</v>
      </c>
      <c r="O24" s="7">
        <v>0.23</v>
      </c>
      <c r="P24" t="s">
        <v>52</v>
      </c>
      <c r="Q24" t="s">
        <v>32</v>
      </c>
    </row>
    <row r="25" spans="1:17" x14ac:dyDescent="0.3">
      <c r="A25" t="s">
        <v>6</v>
      </c>
      <c r="B25" t="s">
        <v>88</v>
      </c>
      <c r="C25">
        <v>2007</v>
      </c>
      <c r="E25" t="s">
        <v>4</v>
      </c>
      <c r="F25" t="s">
        <v>5</v>
      </c>
      <c r="G25" t="s">
        <v>89</v>
      </c>
      <c r="H25" t="s">
        <v>44</v>
      </c>
      <c r="I25">
        <v>96</v>
      </c>
      <c r="J25" t="s">
        <v>49</v>
      </c>
      <c r="K25">
        <v>0</v>
      </c>
      <c r="N25" s="7">
        <f t="shared" si="1"/>
        <v>0</v>
      </c>
      <c r="O25" s="7">
        <v>0.4</v>
      </c>
      <c r="P25" t="s">
        <v>52</v>
      </c>
      <c r="Q25" t="s">
        <v>32</v>
      </c>
    </row>
    <row r="26" spans="1:17" x14ac:dyDescent="0.3">
      <c r="A26" t="s">
        <v>6</v>
      </c>
      <c r="B26" t="s">
        <v>88</v>
      </c>
      <c r="C26">
        <v>2007</v>
      </c>
      <c r="E26" t="s">
        <v>4</v>
      </c>
      <c r="F26" t="s">
        <v>5</v>
      </c>
      <c r="G26" t="s">
        <v>89</v>
      </c>
      <c r="H26" t="s">
        <v>45</v>
      </c>
      <c r="I26">
        <v>216</v>
      </c>
      <c r="J26">
        <v>0</v>
      </c>
      <c r="K26">
        <v>1</v>
      </c>
      <c r="N26" s="7">
        <f t="shared" si="1"/>
        <v>1</v>
      </c>
      <c r="O26" s="7">
        <v>0</v>
      </c>
      <c r="P26" t="s">
        <v>52</v>
      </c>
      <c r="Q26" t="s">
        <v>32</v>
      </c>
    </row>
    <row r="27" spans="1:17" x14ac:dyDescent="0.3">
      <c r="A27" t="s">
        <v>6</v>
      </c>
      <c r="B27" t="s">
        <v>88</v>
      </c>
      <c r="C27">
        <v>2007</v>
      </c>
      <c r="E27" t="s">
        <v>4</v>
      </c>
      <c r="F27" t="s">
        <v>5</v>
      </c>
      <c r="G27" t="s">
        <v>89</v>
      </c>
      <c r="H27" t="s">
        <v>45</v>
      </c>
      <c r="I27">
        <v>216</v>
      </c>
      <c r="J27" t="s">
        <v>35</v>
      </c>
      <c r="K27">
        <v>4</v>
      </c>
      <c r="N27" s="7">
        <f t="shared" si="1"/>
        <v>4</v>
      </c>
      <c r="O27" s="7">
        <v>2.5000000000000001E-3</v>
      </c>
      <c r="P27" t="s">
        <v>52</v>
      </c>
      <c r="Q27" t="s">
        <v>32</v>
      </c>
    </row>
    <row r="28" spans="1:17" x14ac:dyDescent="0.3">
      <c r="A28" t="s">
        <v>6</v>
      </c>
      <c r="B28" t="s">
        <v>88</v>
      </c>
      <c r="C28">
        <v>2007</v>
      </c>
      <c r="E28" t="s">
        <v>4</v>
      </c>
      <c r="F28" t="s">
        <v>5</v>
      </c>
      <c r="G28" t="s">
        <v>89</v>
      </c>
      <c r="H28" t="s">
        <v>45</v>
      </c>
      <c r="I28">
        <v>216</v>
      </c>
      <c r="J28" t="s">
        <v>42</v>
      </c>
      <c r="K28">
        <v>13</v>
      </c>
      <c r="N28" s="7">
        <f t="shared" si="1"/>
        <v>13</v>
      </c>
      <c r="O28" s="7">
        <v>7.4999999999999997E-3</v>
      </c>
      <c r="P28" t="s">
        <v>52</v>
      </c>
      <c r="Q28" t="s">
        <v>32</v>
      </c>
    </row>
    <row r="29" spans="1:17" x14ac:dyDescent="0.3">
      <c r="A29" t="s">
        <v>6</v>
      </c>
      <c r="B29" t="s">
        <v>88</v>
      </c>
      <c r="C29">
        <v>2007</v>
      </c>
      <c r="E29" t="s">
        <v>4</v>
      </c>
      <c r="F29" t="s">
        <v>5</v>
      </c>
      <c r="G29" t="s">
        <v>89</v>
      </c>
      <c r="H29" t="s">
        <v>45</v>
      </c>
      <c r="I29">
        <v>216</v>
      </c>
      <c r="J29" t="s">
        <v>37</v>
      </c>
      <c r="K29">
        <v>31</v>
      </c>
      <c r="N29" s="7">
        <f t="shared" si="1"/>
        <v>31</v>
      </c>
      <c r="O29" s="7">
        <v>0.02</v>
      </c>
      <c r="P29" t="s">
        <v>52</v>
      </c>
      <c r="Q29" t="s">
        <v>32</v>
      </c>
    </row>
    <row r="30" spans="1:17" x14ac:dyDescent="0.3">
      <c r="A30" t="s">
        <v>6</v>
      </c>
      <c r="B30" t="s">
        <v>88</v>
      </c>
      <c r="C30">
        <v>2007</v>
      </c>
      <c r="E30" t="s">
        <v>4</v>
      </c>
      <c r="F30" t="s">
        <v>5</v>
      </c>
      <c r="G30" t="s">
        <v>89</v>
      </c>
      <c r="H30" t="s">
        <v>45</v>
      </c>
      <c r="I30">
        <v>216</v>
      </c>
      <c r="J30" t="s">
        <v>38</v>
      </c>
      <c r="K30">
        <v>56</v>
      </c>
      <c r="N30" s="7">
        <f t="shared" si="1"/>
        <v>56</v>
      </c>
      <c r="O30" s="7">
        <v>4.4999999999999998E-2</v>
      </c>
      <c r="P30" t="s">
        <v>52</v>
      </c>
      <c r="Q30" t="s">
        <v>32</v>
      </c>
    </row>
    <row r="31" spans="1:17" x14ac:dyDescent="0.3">
      <c r="A31" t="s">
        <v>6</v>
      </c>
      <c r="B31" t="s">
        <v>88</v>
      </c>
      <c r="C31">
        <v>2007</v>
      </c>
      <c r="E31" t="s">
        <v>4</v>
      </c>
      <c r="F31" t="s">
        <v>5</v>
      </c>
      <c r="G31" t="s">
        <v>89</v>
      </c>
      <c r="H31" t="s">
        <v>45</v>
      </c>
      <c r="I31">
        <v>216</v>
      </c>
      <c r="J31" t="s">
        <v>39</v>
      </c>
      <c r="K31">
        <v>42</v>
      </c>
      <c r="N31" s="7">
        <f t="shared" si="1"/>
        <v>42</v>
      </c>
      <c r="O31" s="7">
        <v>0.08</v>
      </c>
      <c r="P31" t="s">
        <v>52</v>
      </c>
      <c r="Q31" t="s">
        <v>32</v>
      </c>
    </row>
    <row r="32" spans="1:17" x14ac:dyDescent="0.3">
      <c r="A32" t="s">
        <v>6</v>
      </c>
      <c r="B32" t="s">
        <v>88</v>
      </c>
      <c r="C32">
        <v>2007</v>
      </c>
      <c r="E32" t="s">
        <v>4</v>
      </c>
      <c r="F32" t="s">
        <v>5</v>
      </c>
      <c r="G32" t="s">
        <v>89</v>
      </c>
      <c r="H32" t="s">
        <v>45</v>
      </c>
      <c r="I32">
        <v>216</v>
      </c>
      <c r="J32" t="s">
        <v>46</v>
      </c>
      <c r="K32">
        <v>19</v>
      </c>
      <c r="N32" s="7">
        <f t="shared" si="1"/>
        <v>19</v>
      </c>
      <c r="O32" s="7">
        <v>0.13</v>
      </c>
      <c r="P32" t="s">
        <v>52</v>
      </c>
      <c r="Q32" t="s">
        <v>32</v>
      </c>
    </row>
    <row r="33" spans="1:20" x14ac:dyDescent="0.3">
      <c r="A33" t="s">
        <v>6</v>
      </c>
      <c r="B33" t="s">
        <v>88</v>
      </c>
      <c r="C33">
        <v>2007</v>
      </c>
      <c r="E33" t="s">
        <v>4</v>
      </c>
      <c r="F33" t="s">
        <v>5</v>
      </c>
      <c r="G33" t="s">
        <v>89</v>
      </c>
      <c r="H33" t="s">
        <v>45</v>
      </c>
      <c r="I33">
        <v>216</v>
      </c>
      <c r="J33" t="s">
        <v>47</v>
      </c>
      <c r="K33">
        <v>28</v>
      </c>
      <c r="N33" s="7">
        <f t="shared" si="1"/>
        <v>28</v>
      </c>
      <c r="O33" s="7">
        <v>0.18</v>
      </c>
      <c r="P33" t="s">
        <v>52</v>
      </c>
      <c r="Q33" t="s">
        <v>32</v>
      </c>
    </row>
    <row r="34" spans="1:20" x14ac:dyDescent="0.3">
      <c r="A34" t="s">
        <v>6</v>
      </c>
      <c r="B34" t="s">
        <v>88</v>
      </c>
      <c r="C34">
        <v>2007</v>
      </c>
      <c r="E34" t="s">
        <v>4</v>
      </c>
      <c r="F34" t="s">
        <v>5</v>
      </c>
      <c r="G34" t="s">
        <v>89</v>
      </c>
      <c r="H34" t="s">
        <v>45</v>
      </c>
      <c r="I34">
        <v>216</v>
      </c>
      <c r="J34" t="s">
        <v>48</v>
      </c>
      <c r="K34">
        <v>5</v>
      </c>
      <c r="N34" s="7">
        <f t="shared" si="1"/>
        <v>5</v>
      </c>
      <c r="O34" s="7">
        <v>0.23</v>
      </c>
      <c r="P34" t="s">
        <v>52</v>
      </c>
      <c r="Q34" t="s">
        <v>32</v>
      </c>
    </row>
    <row r="35" spans="1:20" x14ac:dyDescent="0.3">
      <c r="A35" t="s">
        <v>6</v>
      </c>
      <c r="B35" t="s">
        <v>88</v>
      </c>
      <c r="C35">
        <v>2007</v>
      </c>
      <c r="E35" t="s">
        <v>4</v>
      </c>
      <c r="F35" t="s">
        <v>5</v>
      </c>
      <c r="G35" t="s">
        <v>89</v>
      </c>
      <c r="H35" t="s">
        <v>45</v>
      </c>
      <c r="I35">
        <v>216</v>
      </c>
      <c r="J35" t="s">
        <v>49</v>
      </c>
      <c r="K35">
        <v>17</v>
      </c>
      <c r="N35" s="7">
        <f t="shared" si="1"/>
        <v>17</v>
      </c>
      <c r="O35" s="7">
        <v>0.4</v>
      </c>
      <c r="P35" t="s">
        <v>52</v>
      </c>
      <c r="Q35" t="s">
        <v>32</v>
      </c>
    </row>
    <row r="36" spans="1:20" s="8" customFormat="1" x14ac:dyDescent="0.3">
      <c r="A36" s="8" t="s">
        <v>6</v>
      </c>
      <c r="B36" s="8" t="s">
        <v>88</v>
      </c>
      <c r="C36" s="8">
        <v>2007</v>
      </c>
      <c r="E36" s="8" t="s">
        <v>4</v>
      </c>
      <c r="F36" s="8" t="s">
        <v>5</v>
      </c>
      <c r="G36" s="8" t="s">
        <v>89</v>
      </c>
      <c r="H36" s="8" t="s">
        <v>50</v>
      </c>
      <c r="I36" s="8">
        <v>153</v>
      </c>
      <c r="J36" s="8">
        <v>0</v>
      </c>
      <c r="K36" s="8">
        <v>0</v>
      </c>
      <c r="N36" s="8">
        <f>K36</f>
        <v>0</v>
      </c>
      <c r="O36" s="8">
        <v>0</v>
      </c>
      <c r="P36" s="8" t="s">
        <v>52</v>
      </c>
      <c r="Q36" s="8" t="s">
        <v>32</v>
      </c>
      <c r="T36" s="8" t="s">
        <v>175</v>
      </c>
    </row>
    <row r="37" spans="1:20" x14ac:dyDescent="0.3">
      <c r="A37" t="s">
        <v>6</v>
      </c>
      <c r="B37" t="s">
        <v>88</v>
      </c>
      <c r="C37">
        <v>2007</v>
      </c>
      <c r="E37" t="s">
        <v>4</v>
      </c>
      <c r="F37" t="s">
        <v>5</v>
      </c>
      <c r="G37" t="s">
        <v>89</v>
      </c>
      <c r="H37" t="s">
        <v>50</v>
      </c>
      <c r="I37">
        <v>153</v>
      </c>
      <c r="J37" t="s">
        <v>35</v>
      </c>
      <c r="K37">
        <v>26</v>
      </c>
      <c r="N37" s="7">
        <f>K37</f>
        <v>26</v>
      </c>
      <c r="O37" s="7">
        <v>2.5000000000000001E-3</v>
      </c>
      <c r="P37" t="s">
        <v>52</v>
      </c>
      <c r="Q37" t="s">
        <v>32</v>
      </c>
    </row>
    <row r="38" spans="1:20" x14ac:dyDescent="0.3">
      <c r="A38" t="s">
        <v>6</v>
      </c>
      <c r="B38" t="s">
        <v>88</v>
      </c>
      <c r="C38">
        <v>2007</v>
      </c>
      <c r="E38" t="s">
        <v>4</v>
      </c>
      <c r="F38" t="s">
        <v>5</v>
      </c>
      <c r="G38" t="s">
        <v>89</v>
      </c>
      <c r="H38" t="s">
        <v>50</v>
      </c>
      <c r="I38">
        <v>153</v>
      </c>
      <c r="J38" t="s">
        <v>42</v>
      </c>
      <c r="K38">
        <v>31</v>
      </c>
      <c r="N38" s="7">
        <f>K38</f>
        <v>31</v>
      </c>
      <c r="O38" s="7">
        <v>7.4999999999999997E-3</v>
      </c>
      <c r="P38" t="s">
        <v>52</v>
      </c>
      <c r="Q38" t="s">
        <v>32</v>
      </c>
    </row>
    <row r="39" spans="1:20" x14ac:dyDescent="0.3">
      <c r="A39" t="s">
        <v>6</v>
      </c>
      <c r="B39" t="s">
        <v>88</v>
      </c>
      <c r="C39">
        <v>2007</v>
      </c>
      <c r="E39" t="s">
        <v>4</v>
      </c>
      <c r="F39" t="s">
        <v>5</v>
      </c>
      <c r="G39" t="s">
        <v>89</v>
      </c>
      <c r="H39" t="s">
        <v>50</v>
      </c>
      <c r="I39">
        <v>153</v>
      </c>
      <c r="J39" t="s">
        <v>37</v>
      </c>
      <c r="K39">
        <v>43</v>
      </c>
      <c r="N39" s="7">
        <f t="shared" ref="N39:N45" si="2">K39</f>
        <v>43</v>
      </c>
      <c r="O39" s="7">
        <v>0.02</v>
      </c>
      <c r="P39" t="s">
        <v>52</v>
      </c>
      <c r="Q39" t="s">
        <v>32</v>
      </c>
    </row>
    <row r="40" spans="1:20" x14ac:dyDescent="0.3">
      <c r="A40" t="s">
        <v>6</v>
      </c>
      <c r="B40" t="s">
        <v>88</v>
      </c>
      <c r="C40">
        <v>2007</v>
      </c>
      <c r="E40" t="s">
        <v>4</v>
      </c>
      <c r="F40" t="s">
        <v>5</v>
      </c>
      <c r="G40" t="s">
        <v>89</v>
      </c>
      <c r="H40" t="s">
        <v>50</v>
      </c>
      <c r="I40">
        <v>153</v>
      </c>
      <c r="J40" t="s">
        <v>38</v>
      </c>
      <c r="K40">
        <v>28</v>
      </c>
      <c r="N40" s="7">
        <f t="shared" si="2"/>
        <v>28</v>
      </c>
      <c r="O40" s="7">
        <v>4.4999999999999998E-2</v>
      </c>
      <c r="P40" t="s">
        <v>52</v>
      </c>
      <c r="Q40" t="s">
        <v>32</v>
      </c>
    </row>
    <row r="41" spans="1:20" x14ac:dyDescent="0.3">
      <c r="A41" t="s">
        <v>6</v>
      </c>
      <c r="B41" t="s">
        <v>88</v>
      </c>
      <c r="C41">
        <v>2007</v>
      </c>
      <c r="E41" t="s">
        <v>4</v>
      </c>
      <c r="F41" t="s">
        <v>5</v>
      </c>
      <c r="G41" t="s">
        <v>89</v>
      </c>
      <c r="H41" t="s">
        <v>50</v>
      </c>
      <c r="I41">
        <v>153</v>
      </c>
      <c r="J41" t="s">
        <v>39</v>
      </c>
      <c r="K41">
        <v>16</v>
      </c>
      <c r="N41" s="7">
        <f t="shared" si="2"/>
        <v>16</v>
      </c>
      <c r="O41" s="7">
        <v>0.08</v>
      </c>
      <c r="P41" t="s">
        <v>52</v>
      </c>
      <c r="Q41" t="s">
        <v>32</v>
      </c>
    </row>
    <row r="42" spans="1:20" x14ac:dyDescent="0.3">
      <c r="A42" t="s">
        <v>6</v>
      </c>
      <c r="B42" t="s">
        <v>88</v>
      </c>
      <c r="C42">
        <v>2007</v>
      </c>
      <c r="E42" t="s">
        <v>4</v>
      </c>
      <c r="F42" t="s">
        <v>5</v>
      </c>
      <c r="G42" t="s">
        <v>89</v>
      </c>
      <c r="H42" t="s">
        <v>50</v>
      </c>
      <c r="I42">
        <v>153</v>
      </c>
      <c r="J42" t="s">
        <v>46</v>
      </c>
      <c r="K42">
        <v>6</v>
      </c>
      <c r="N42" s="7">
        <f t="shared" si="2"/>
        <v>6</v>
      </c>
      <c r="O42" s="7">
        <v>0.13</v>
      </c>
      <c r="P42" t="s">
        <v>52</v>
      </c>
      <c r="Q42" t="s">
        <v>32</v>
      </c>
    </row>
    <row r="43" spans="1:20" x14ac:dyDescent="0.3">
      <c r="A43" t="s">
        <v>6</v>
      </c>
      <c r="B43" t="s">
        <v>88</v>
      </c>
      <c r="C43">
        <v>2007</v>
      </c>
      <c r="E43" t="s">
        <v>4</v>
      </c>
      <c r="F43" t="s">
        <v>5</v>
      </c>
      <c r="G43" t="s">
        <v>89</v>
      </c>
      <c r="H43" t="s">
        <v>50</v>
      </c>
      <c r="I43">
        <v>153</v>
      </c>
      <c r="J43" t="s">
        <v>47</v>
      </c>
      <c r="K43">
        <v>2</v>
      </c>
      <c r="N43" s="7">
        <f t="shared" si="2"/>
        <v>2</v>
      </c>
      <c r="O43" s="7">
        <v>0.18</v>
      </c>
      <c r="P43" t="s">
        <v>52</v>
      </c>
      <c r="Q43" t="s">
        <v>32</v>
      </c>
    </row>
    <row r="44" spans="1:20" x14ac:dyDescent="0.3">
      <c r="A44" t="s">
        <v>6</v>
      </c>
      <c r="B44" t="s">
        <v>88</v>
      </c>
      <c r="C44">
        <v>2007</v>
      </c>
      <c r="E44" t="s">
        <v>4</v>
      </c>
      <c r="F44" t="s">
        <v>5</v>
      </c>
      <c r="G44" t="s">
        <v>89</v>
      </c>
      <c r="H44" t="s">
        <v>50</v>
      </c>
      <c r="I44">
        <v>153</v>
      </c>
      <c r="J44" t="s">
        <v>48</v>
      </c>
      <c r="K44">
        <v>0</v>
      </c>
      <c r="N44" s="7">
        <f t="shared" si="2"/>
        <v>0</v>
      </c>
      <c r="O44" s="7">
        <v>0.23</v>
      </c>
      <c r="P44" t="s">
        <v>52</v>
      </c>
      <c r="Q44" t="s">
        <v>32</v>
      </c>
    </row>
    <row r="45" spans="1:20" x14ac:dyDescent="0.3">
      <c r="A45" t="s">
        <v>6</v>
      </c>
      <c r="B45" t="s">
        <v>88</v>
      </c>
      <c r="C45">
        <v>2007</v>
      </c>
      <c r="E45" t="s">
        <v>4</v>
      </c>
      <c r="F45" t="s">
        <v>5</v>
      </c>
      <c r="G45" t="s">
        <v>89</v>
      </c>
      <c r="H45" t="s">
        <v>50</v>
      </c>
      <c r="I45">
        <v>153</v>
      </c>
      <c r="J45" t="s">
        <v>49</v>
      </c>
      <c r="K45">
        <v>1</v>
      </c>
      <c r="N45" s="7">
        <f t="shared" si="2"/>
        <v>1</v>
      </c>
      <c r="O45" s="7">
        <v>0.4</v>
      </c>
      <c r="P45" t="s">
        <v>52</v>
      </c>
      <c r="Q45" t="s">
        <v>32</v>
      </c>
    </row>
    <row r="46" spans="1:20" s="3" customFormat="1" x14ac:dyDescent="0.3">
      <c r="A46" s="3" t="s">
        <v>7</v>
      </c>
      <c r="B46" s="3" t="s">
        <v>88</v>
      </c>
      <c r="C46" s="3">
        <v>2007</v>
      </c>
      <c r="E46" s="3" t="s">
        <v>4</v>
      </c>
      <c r="F46" s="3" t="s">
        <v>5</v>
      </c>
      <c r="G46" s="3" t="s">
        <v>89</v>
      </c>
      <c r="H46" s="3" t="s">
        <v>41</v>
      </c>
      <c r="I46" s="3">
        <v>274</v>
      </c>
      <c r="J46" s="3">
        <v>0</v>
      </c>
      <c r="K46" s="3">
        <v>91</v>
      </c>
      <c r="N46" s="3">
        <f>K46</f>
        <v>91</v>
      </c>
      <c r="O46" s="3">
        <v>0</v>
      </c>
      <c r="P46" s="3" t="s">
        <v>52</v>
      </c>
      <c r="Q46" s="3" t="s">
        <v>32</v>
      </c>
      <c r="R46" s="3" t="s">
        <v>51</v>
      </c>
      <c r="T46" s="3" t="s">
        <v>163</v>
      </c>
    </row>
    <row r="47" spans="1:20" s="3" customFormat="1" x14ac:dyDescent="0.3">
      <c r="A47" s="3" t="s">
        <v>7</v>
      </c>
      <c r="B47" s="3" t="s">
        <v>88</v>
      </c>
      <c r="C47" s="3">
        <v>2007</v>
      </c>
      <c r="E47" s="3" t="s">
        <v>4</v>
      </c>
      <c r="F47" s="3" t="s">
        <v>5</v>
      </c>
      <c r="G47" s="3" t="s">
        <v>89</v>
      </c>
      <c r="H47" s="3" t="s">
        <v>41</v>
      </c>
      <c r="I47" s="3">
        <v>274</v>
      </c>
      <c r="J47" s="3" t="s">
        <v>35</v>
      </c>
      <c r="K47" s="3">
        <v>119</v>
      </c>
      <c r="N47" s="3">
        <f>K47</f>
        <v>119</v>
      </c>
      <c r="O47" s="3">
        <v>2.5000000000000001E-3</v>
      </c>
      <c r="P47" s="3" t="s">
        <v>52</v>
      </c>
      <c r="Q47" s="3" t="s">
        <v>32</v>
      </c>
    </row>
    <row r="48" spans="1:20" s="3" customFormat="1" x14ac:dyDescent="0.3">
      <c r="A48" s="3" t="s">
        <v>7</v>
      </c>
      <c r="B48" s="3" t="s">
        <v>88</v>
      </c>
      <c r="C48" s="3">
        <v>2007</v>
      </c>
      <c r="E48" s="3" t="s">
        <v>4</v>
      </c>
      <c r="F48" s="3" t="s">
        <v>5</v>
      </c>
      <c r="G48" s="3" t="s">
        <v>89</v>
      </c>
      <c r="H48" s="3" t="s">
        <v>41</v>
      </c>
      <c r="I48" s="3">
        <v>274</v>
      </c>
      <c r="J48" s="3" t="s">
        <v>42</v>
      </c>
      <c r="K48" s="3">
        <v>37</v>
      </c>
      <c r="N48" s="3">
        <f t="shared" ref="N48:N85" si="3">K48</f>
        <v>37</v>
      </c>
      <c r="O48" s="3">
        <v>7.4999999999999997E-3</v>
      </c>
      <c r="P48" s="3" t="s">
        <v>52</v>
      </c>
      <c r="Q48" s="3" t="s">
        <v>32</v>
      </c>
    </row>
    <row r="49" spans="1:17" s="3" customFormat="1" x14ac:dyDescent="0.3">
      <c r="A49" s="3" t="s">
        <v>7</v>
      </c>
      <c r="B49" s="3" t="s">
        <v>88</v>
      </c>
      <c r="C49" s="3">
        <v>2007</v>
      </c>
      <c r="E49" s="3" t="s">
        <v>4</v>
      </c>
      <c r="F49" s="3" t="s">
        <v>5</v>
      </c>
      <c r="G49" s="3" t="s">
        <v>89</v>
      </c>
      <c r="H49" s="3" t="s">
        <v>41</v>
      </c>
      <c r="I49" s="3">
        <v>274</v>
      </c>
      <c r="J49" s="3" t="s">
        <v>37</v>
      </c>
      <c r="K49" s="3">
        <v>17</v>
      </c>
      <c r="N49" s="3">
        <f t="shared" si="3"/>
        <v>17</v>
      </c>
      <c r="O49" s="3">
        <v>0.02</v>
      </c>
      <c r="P49" s="3" t="s">
        <v>52</v>
      </c>
      <c r="Q49" s="3" t="s">
        <v>32</v>
      </c>
    </row>
    <row r="50" spans="1:17" s="3" customFormat="1" x14ac:dyDescent="0.3">
      <c r="A50" s="3" t="s">
        <v>7</v>
      </c>
      <c r="B50" s="3" t="s">
        <v>88</v>
      </c>
      <c r="C50" s="3">
        <v>2007</v>
      </c>
      <c r="E50" s="3" t="s">
        <v>4</v>
      </c>
      <c r="F50" s="3" t="s">
        <v>5</v>
      </c>
      <c r="G50" s="3" t="s">
        <v>89</v>
      </c>
      <c r="H50" s="3" t="s">
        <v>41</v>
      </c>
      <c r="I50" s="3">
        <v>274</v>
      </c>
      <c r="J50" s="3" t="s">
        <v>38</v>
      </c>
      <c r="K50" s="3">
        <v>9</v>
      </c>
      <c r="N50" s="3">
        <f t="shared" si="3"/>
        <v>9</v>
      </c>
      <c r="O50" s="3">
        <v>4.4999999999999998E-2</v>
      </c>
      <c r="P50" s="3" t="s">
        <v>52</v>
      </c>
      <c r="Q50" s="3" t="s">
        <v>32</v>
      </c>
    </row>
    <row r="51" spans="1:17" s="3" customFormat="1" x14ac:dyDescent="0.3">
      <c r="A51" s="3" t="s">
        <v>7</v>
      </c>
      <c r="B51" s="3" t="s">
        <v>88</v>
      </c>
      <c r="C51" s="3">
        <v>2007</v>
      </c>
      <c r="E51" s="3" t="s">
        <v>4</v>
      </c>
      <c r="F51" s="3" t="s">
        <v>5</v>
      </c>
      <c r="G51" s="3" t="s">
        <v>89</v>
      </c>
      <c r="H51" s="3" t="s">
        <v>41</v>
      </c>
      <c r="I51" s="3">
        <v>274</v>
      </c>
      <c r="J51" s="3" t="s">
        <v>39</v>
      </c>
      <c r="K51" s="3">
        <v>1</v>
      </c>
      <c r="N51" s="3">
        <f t="shared" si="3"/>
        <v>1</v>
      </c>
      <c r="O51" s="3">
        <v>0.08</v>
      </c>
      <c r="P51" s="3" t="s">
        <v>52</v>
      </c>
      <c r="Q51" s="3" t="s">
        <v>32</v>
      </c>
    </row>
    <row r="52" spans="1:17" s="3" customFormat="1" x14ac:dyDescent="0.3">
      <c r="A52" s="3" t="s">
        <v>7</v>
      </c>
      <c r="B52" s="3" t="s">
        <v>88</v>
      </c>
      <c r="C52" s="3">
        <v>2007</v>
      </c>
      <c r="E52" s="3" t="s">
        <v>4</v>
      </c>
      <c r="F52" s="3" t="s">
        <v>5</v>
      </c>
      <c r="G52" s="3" t="s">
        <v>89</v>
      </c>
      <c r="H52" s="3" t="s">
        <v>41</v>
      </c>
      <c r="I52" s="3">
        <v>274</v>
      </c>
      <c r="J52" s="3" t="s">
        <v>46</v>
      </c>
      <c r="K52" s="3">
        <v>0</v>
      </c>
      <c r="N52" s="3">
        <f t="shared" si="3"/>
        <v>0</v>
      </c>
      <c r="O52" s="3">
        <v>0.13</v>
      </c>
      <c r="P52" s="3" t="s">
        <v>52</v>
      </c>
      <c r="Q52" s="3" t="s">
        <v>32</v>
      </c>
    </row>
    <row r="53" spans="1:17" s="3" customFormat="1" x14ac:dyDescent="0.3">
      <c r="A53" s="3" t="s">
        <v>7</v>
      </c>
      <c r="B53" s="3" t="s">
        <v>88</v>
      </c>
      <c r="C53" s="3">
        <v>2007</v>
      </c>
      <c r="E53" s="3" t="s">
        <v>4</v>
      </c>
      <c r="F53" s="3" t="s">
        <v>5</v>
      </c>
      <c r="G53" s="3" t="s">
        <v>89</v>
      </c>
      <c r="H53" s="3" t="s">
        <v>41</v>
      </c>
      <c r="I53" s="3">
        <v>274</v>
      </c>
      <c r="J53" s="3" t="s">
        <v>47</v>
      </c>
      <c r="K53" s="3">
        <v>0</v>
      </c>
      <c r="N53" s="3">
        <f t="shared" si="3"/>
        <v>0</v>
      </c>
      <c r="O53" s="3">
        <v>0.18</v>
      </c>
      <c r="P53" s="3" t="s">
        <v>52</v>
      </c>
      <c r="Q53" s="3" t="s">
        <v>32</v>
      </c>
    </row>
    <row r="54" spans="1:17" s="3" customFormat="1" x14ac:dyDescent="0.3">
      <c r="A54" s="3" t="s">
        <v>7</v>
      </c>
      <c r="B54" s="3" t="s">
        <v>88</v>
      </c>
      <c r="C54" s="3">
        <v>2007</v>
      </c>
      <c r="E54" s="3" t="s">
        <v>4</v>
      </c>
      <c r="F54" s="3" t="s">
        <v>5</v>
      </c>
      <c r="G54" s="3" t="s">
        <v>89</v>
      </c>
      <c r="H54" s="3" t="s">
        <v>41</v>
      </c>
      <c r="I54" s="3">
        <v>274</v>
      </c>
      <c r="J54" s="3" t="s">
        <v>48</v>
      </c>
      <c r="K54" s="3">
        <v>0</v>
      </c>
      <c r="N54" s="3">
        <f t="shared" si="3"/>
        <v>0</v>
      </c>
      <c r="O54" s="3">
        <v>0.23</v>
      </c>
      <c r="P54" s="3" t="s">
        <v>52</v>
      </c>
      <c r="Q54" s="3" t="s">
        <v>32</v>
      </c>
    </row>
    <row r="55" spans="1:17" s="3" customFormat="1" x14ac:dyDescent="0.3">
      <c r="A55" s="3" t="s">
        <v>7</v>
      </c>
      <c r="B55" s="3" t="s">
        <v>88</v>
      </c>
      <c r="C55" s="3">
        <v>2007</v>
      </c>
      <c r="E55" s="3" t="s">
        <v>4</v>
      </c>
      <c r="F55" s="3" t="s">
        <v>5</v>
      </c>
      <c r="G55" s="3" t="s">
        <v>89</v>
      </c>
      <c r="H55" s="3" t="s">
        <v>41</v>
      </c>
      <c r="I55" s="3">
        <v>274</v>
      </c>
      <c r="J55" s="3" t="s">
        <v>49</v>
      </c>
      <c r="K55" s="3">
        <v>0</v>
      </c>
      <c r="N55" s="3">
        <f t="shared" si="3"/>
        <v>0</v>
      </c>
      <c r="O55" s="3">
        <v>0.4</v>
      </c>
      <c r="P55" s="3" t="s">
        <v>52</v>
      </c>
      <c r="Q55" s="3" t="s">
        <v>32</v>
      </c>
    </row>
    <row r="56" spans="1:17" s="3" customFormat="1" x14ac:dyDescent="0.3">
      <c r="A56" s="3" t="s">
        <v>7</v>
      </c>
      <c r="B56" s="3" t="s">
        <v>88</v>
      </c>
      <c r="C56" s="3">
        <v>2007</v>
      </c>
      <c r="E56" s="3" t="s">
        <v>4</v>
      </c>
      <c r="F56" s="3" t="s">
        <v>5</v>
      </c>
      <c r="G56" s="3" t="s">
        <v>89</v>
      </c>
      <c r="H56" s="3" t="s">
        <v>44</v>
      </c>
      <c r="I56" s="3">
        <v>100</v>
      </c>
      <c r="J56" s="3">
        <v>0</v>
      </c>
      <c r="K56" s="3">
        <v>29</v>
      </c>
      <c r="N56" s="3">
        <f t="shared" si="3"/>
        <v>29</v>
      </c>
      <c r="O56" s="3">
        <v>0</v>
      </c>
      <c r="P56" s="3" t="s">
        <v>52</v>
      </c>
      <c r="Q56" s="3" t="s">
        <v>32</v>
      </c>
    </row>
    <row r="57" spans="1:17" s="3" customFormat="1" x14ac:dyDescent="0.3">
      <c r="A57" s="3" t="s">
        <v>7</v>
      </c>
      <c r="B57" s="3" t="s">
        <v>88</v>
      </c>
      <c r="C57" s="3">
        <v>2007</v>
      </c>
      <c r="E57" s="3" t="s">
        <v>4</v>
      </c>
      <c r="F57" s="3" t="s">
        <v>5</v>
      </c>
      <c r="G57" s="3" t="s">
        <v>89</v>
      </c>
      <c r="H57" s="3" t="s">
        <v>44</v>
      </c>
      <c r="I57" s="3">
        <v>100</v>
      </c>
      <c r="J57" s="3" t="s">
        <v>35</v>
      </c>
      <c r="K57" s="3">
        <v>49</v>
      </c>
      <c r="N57" s="3">
        <f t="shared" si="3"/>
        <v>49</v>
      </c>
      <c r="O57" s="3">
        <v>2.5000000000000001E-3</v>
      </c>
      <c r="P57" s="3" t="s">
        <v>52</v>
      </c>
      <c r="Q57" s="3" t="s">
        <v>32</v>
      </c>
    </row>
    <row r="58" spans="1:17" s="3" customFormat="1" x14ac:dyDescent="0.3">
      <c r="A58" s="3" t="s">
        <v>7</v>
      </c>
      <c r="B58" s="3" t="s">
        <v>88</v>
      </c>
      <c r="C58" s="3">
        <v>2007</v>
      </c>
      <c r="E58" s="3" t="s">
        <v>4</v>
      </c>
      <c r="F58" s="3" t="s">
        <v>5</v>
      </c>
      <c r="G58" s="3" t="s">
        <v>89</v>
      </c>
      <c r="H58" s="3" t="s">
        <v>44</v>
      </c>
      <c r="I58" s="3">
        <v>100</v>
      </c>
      <c r="J58" s="3" t="s">
        <v>42</v>
      </c>
      <c r="K58" s="3">
        <v>13</v>
      </c>
      <c r="N58" s="3">
        <f t="shared" si="3"/>
        <v>13</v>
      </c>
      <c r="O58" s="3">
        <v>7.4999999999999997E-3</v>
      </c>
      <c r="P58" s="3" t="s">
        <v>52</v>
      </c>
      <c r="Q58" s="3" t="s">
        <v>32</v>
      </c>
    </row>
    <row r="59" spans="1:17" s="3" customFormat="1" x14ac:dyDescent="0.3">
      <c r="A59" s="3" t="s">
        <v>7</v>
      </c>
      <c r="B59" s="3" t="s">
        <v>88</v>
      </c>
      <c r="C59" s="3">
        <v>2007</v>
      </c>
      <c r="E59" s="3" t="s">
        <v>4</v>
      </c>
      <c r="F59" s="3" t="s">
        <v>5</v>
      </c>
      <c r="G59" s="3" t="s">
        <v>89</v>
      </c>
      <c r="H59" s="3" t="s">
        <v>44</v>
      </c>
      <c r="I59" s="3">
        <v>100</v>
      </c>
      <c r="J59" s="3" t="s">
        <v>37</v>
      </c>
      <c r="K59" s="3">
        <v>6</v>
      </c>
      <c r="N59" s="3">
        <f t="shared" si="3"/>
        <v>6</v>
      </c>
      <c r="O59" s="3">
        <v>0.02</v>
      </c>
      <c r="P59" s="3" t="s">
        <v>52</v>
      </c>
      <c r="Q59" s="3" t="s">
        <v>32</v>
      </c>
    </row>
    <row r="60" spans="1:17" s="3" customFormat="1" x14ac:dyDescent="0.3">
      <c r="A60" s="3" t="s">
        <v>7</v>
      </c>
      <c r="B60" s="3" t="s">
        <v>88</v>
      </c>
      <c r="C60" s="3">
        <v>2007</v>
      </c>
      <c r="E60" s="3" t="s">
        <v>4</v>
      </c>
      <c r="F60" s="3" t="s">
        <v>5</v>
      </c>
      <c r="G60" s="3" t="s">
        <v>89</v>
      </c>
      <c r="H60" s="3" t="s">
        <v>44</v>
      </c>
      <c r="I60" s="3">
        <v>100</v>
      </c>
      <c r="J60" s="3" t="s">
        <v>38</v>
      </c>
      <c r="K60" s="3">
        <v>1</v>
      </c>
      <c r="N60" s="3">
        <f t="shared" si="3"/>
        <v>1</v>
      </c>
      <c r="O60" s="3">
        <v>4.4999999999999998E-2</v>
      </c>
      <c r="P60" s="3" t="s">
        <v>52</v>
      </c>
      <c r="Q60" s="3" t="s">
        <v>32</v>
      </c>
    </row>
    <row r="61" spans="1:17" s="3" customFormat="1" x14ac:dyDescent="0.3">
      <c r="A61" s="3" t="s">
        <v>7</v>
      </c>
      <c r="B61" s="3" t="s">
        <v>88</v>
      </c>
      <c r="C61" s="3">
        <v>2007</v>
      </c>
      <c r="E61" s="3" t="s">
        <v>4</v>
      </c>
      <c r="F61" s="3" t="s">
        <v>5</v>
      </c>
      <c r="G61" s="3" t="s">
        <v>89</v>
      </c>
      <c r="H61" s="3" t="s">
        <v>44</v>
      </c>
      <c r="I61" s="3">
        <v>100</v>
      </c>
      <c r="J61" s="3" t="s">
        <v>39</v>
      </c>
      <c r="K61" s="3">
        <v>2</v>
      </c>
      <c r="N61" s="3">
        <f t="shared" si="3"/>
        <v>2</v>
      </c>
      <c r="O61" s="3">
        <v>0.08</v>
      </c>
      <c r="P61" s="3" t="s">
        <v>52</v>
      </c>
      <c r="Q61" s="3" t="s">
        <v>32</v>
      </c>
    </row>
    <row r="62" spans="1:17" s="3" customFormat="1" x14ac:dyDescent="0.3">
      <c r="A62" s="3" t="s">
        <v>7</v>
      </c>
      <c r="B62" s="3" t="s">
        <v>88</v>
      </c>
      <c r="C62" s="3">
        <v>2007</v>
      </c>
      <c r="E62" s="3" t="s">
        <v>4</v>
      </c>
      <c r="F62" s="3" t="s">
        <v>5</v>
      </c>
      <c r="G62" s="3" t="s">
        <v>89</v>
      </c>
      <c r="H62" s="3" t="s">
        <v>44</v>
      </c>
      <c r="I62" s="3">
        <v>100</v>
      </c>
      <c r="J62" s="3" t="s">
        <v>46</v>
      </c>
      <c r="K62" s="3">
        <v>0</v>
      </c>
      <c r="N62" s="3">
        <f t="shared" si="3"/>
        <v>0</v>
      </c>
      <c r="O62" s="3">
        <v>0.13</v>
      </c>
      <c r="P62" s="3" t="s">
        <v>52</v>
      </c>
      <c r="Q62" s="3" t="s">
        <v>32</v>
      </c>
    </row>
    <row r="63" spans="1:17" s="3" customFormat="1" x14ac:dyDescent="0.3">
      <c r="A63" s="3" t="s">
        <v>7</v>
      </c>
      <c r="B63" s="3" t="s">
        <v>88</v>
      </c>
      <c r="C63" s="3">
        <v>2007</v>
      </c>
      <c r="E63" s="3" t="s">
        <v>4</v>
      </c>
      <c r="F63" s="3" t="s">
        <v>5</v>
      </c>
      <c r="G63" s="3" t="s">
        <v>89</v>
      </c>
      <c r="H63" s="3" t="s">
        <v>44</v>
      </c>
      <c r="I63" s="3">
        <v>100</v>
      </c>
      <c r="J63" s="3" t="s">
        <v>47</v>
      </c>
      <c r="K63" s="3">
        <v>0</v>
      </c>
      <c r="N63" s="3">
        <f t="shared" si="3"/>
        <v>0</v>
      </c>
      <c r="O63" s="3">
        <v>0.18</v>
      </c>
      <c r="P63" s="3" t="s">
        <v>52</v>
      </c>
      <c r="Q63" s="3" t="s">
        <v>32</v>
      </c>
    </row>
    <row r="64" spans="1:17" s="3" customFormat="1" x14ac:dyDescent="0.3">
      <c r="A64" s="3" t="s">
        <v>7</v>
      </c>
      <c r="B64" s="3" t="s">
        <v>88</v>
      </c>
      <c r="C64" s="3">
        <v>2007</v>
      </c>
      <c r="E64" s="3" t="s">
        <v>4</v>
      </c>
      <c r="F64" s="3" t="s">
        <v>5</v>
      </c>
      <c r="G64" s="3" t="s">
        <v>89</v>
      </c>
      <c r="H64" s="3" t="s">
        <v>44</v>
      </c>
      <c r="I64" s="3">
        <v>100</v>
      </c>
      <c r="J64" s="3" t="s">
        <v>48</v>
      </c>
      <c r="K64" s="3">
        <v>0</v>
      </c>
      <c r="N64" s="3">
        <f t="shared" si="3"/>
        <v>0</v>
      </c>
      <c r="O64" s="3">
        <v>0.23</v>
      </c>
      <c r="P64" s="3" t="s">
        <v>52</v>
      </c>
      <c r="Q64" s="3" t="s">
        <v>32</v>
      </c>
    </row>
    <row r="65" spans="1:17" s="3" customFormat="1" x14ac:dyDescent="0.3">
      <c r="A65" s="3" t="s">
        <v>7</v>
      </c>
      <c r="B65" s="3" t="s">
        <v>88</v>
      </c>
      <c r="C65" s="3">
        <v>2007</v>
      </c>
      <c r="E65" s="3" t="s">
        <v>4</v>
      </c>
      <c r="F65" s="3" t="s">
        <v>5</v>
      </c>
      <c r="G65" s="3" t="s">
        <v>89</v>
      </c>
      <c r="H65" s="3" t="s">
        <v>44</v>
      </c>
      <c r="I65" s="3">
        <v>100</v>
      </c>
      <c r="J65" s="3" t="s">
        <v>49</v>
      </c>
      <c r="K65" s="3">
        <v>0</v>
      </c>
      <c r="N65" s="3">
        <f t="shared" si="3"/>
        <v>0</v>
      </c>
      <c r="O65" s="3">
        <v>0.4</v>
      </c>
      <c r="P65" s="3" t="s">
        <v>52</v>
      </c>
      <c r="Q65" s="3" t="s">
        <v>32</v>
      </c>
    </row>
    <row r="66" spans="1:17" s="3" customFormat="1" x14ac:dyDescent="0.3">
      <c r="A66" s="3" t="s">
        <v>7</v>
      </c>
      <c r="B66" s="3" t="s">
        <v>88</v>
      </c>
      <c r="C66" s="3">
        <v>2007</v>
      </c>
      <c r="E66" s="3" t="s">
        <v>4</v>
      </c>
      <c r="F66" s="3" t="s">
        <v>5</v>
      </c>
      <c r="G66" s="3" t="s">
        <v>89</v>
      </c>
      <c r="H66" s="3" t="s">
        <v>45</v>
      </c>
      <c r="I66" s="3">
        <v>226</v>
      </c>
      <c r="J66" s="3">
        <v>0</v>
      </c>
      <c r="K66" s="3">
        <v>4</v>
      </c>
      <c r="N66" s="3">
        <f t="shared" si="3"/>
        <v>4</v>
      </c>
      <c r="O66" s="3">
        <v>0</v>
      </c>
      <c r="P66" s="3" t="s">
        <v>52</v>
      </c>
      <c r="Q66" s="3" t="s">
        <v>32</v>
      </c>
    </row>
    <row r="67" spans="1:17" s="3" customFormat="1" x14ac:dyDescent="0.3">
      <c r="A67" s="3" t="s">
        <v>7</v>
      </c>
      <c r="B67" s="3" t="s">
        <v>88</v>
      </c>
      <c r="C67" s="3">
        <v>2007</v>
      </c>
      <c r="E67" s="3" t="s">
        <v>4</v>
      </c>
      <c r="F67" s="3" t="s">
        <v>5</v>
      </c>
      <c r="G67" s="3" t="s">
        <v>89</v>
      </c>
      <c r="H67" s="3" t="s">
        <v>45</v>
      </c>
      <c r="I67" s="3">
        <v>226</v>
      </c>
      <c r="J67" s="3" t="s">
        <v>35</v>
      </c>
      <c r="K67" s="3">
        <v>5</v>
      </c>
      <c r="N67" s="3">
        <f t="shared" si="3"/>
        <v>5</v>
      </c>
      <c r="O67" s="3">
        <v>2.5000000000000001E-3</v>
      </c>
      <c r="P67" s="3" t="s">
        <v>52</v>
      </c>
      <c r="Q67" s="3" t="s">
        <v>32</v>
      </c>
    </row>
    <row r="68" spans="1:17" s="3" customFormat="1" x14ac:dyDescent="0.3">
      <c r="A68" s="3" t="s">
        <v>7</v>
      </c>
      <c r="B68" s="3" t="s">
        <v>88</v>
      </c>
      <c r="C68" s="3">
        <v>2007</v>
      </c>
      <c r="E68" s="3" t="s">
        <v>4</v>
      </c>
      <c r="F68" s="3" t="s">
        <v>5</v>
      </c>
      <c r="G68" s="3" t="s">
        <v>89</v>
      </c>
      <c r="H68" s="3" t="s">
        <v>45</v>
      </c>
      <c r="I68" s="3">
        <v>226</v>
      </c>
      <c r="J68" s="3" t="s">
        <v>42</v>
      </c>
      <c r="K68" s="3">
        <v>21</v>
      </c>
      <c r="N68" s="3">
        <f t="shared" si="3"/>
        <v>21</v>
      </c>
      <c r="O68" s="3">
        <v>7.4999999999999997E-3</v>
      </c>
      <c r="P68" s="3" t="s">
        <v>52</v>
      </c>
      <c r="Q68" s="3" t="s">
        <v>32</v>
      </c>
    </row>
    <row r="69" spans="1:17" s="3" customFormat="1" x14ac:dyDescent="0.3">
      <c r="A69" s="3" t="s">
        <v>7</v>
      </c>
      <c r="B69" s="3" t="s">
        <v>88</v>
      </c>
      <c r="C69" s="3">
        <v>2007</v>
      </c>
      <c r="E69" s="3" t="s">
        <v>4</v>
      </c>
      <c r="F69" s="3" t="s">
        <v>5</v>
      </c>
      <c r="G69" s="3" t="s">
        <v>89</v>
      </c>
      <c r="H69" s="3" t="s">
        <v>45</v>
      </c>
      <c r="I69" s="3">
        <v>226</v>
      </c>
      <c r="J69" s="3" t="s">
        <v>37</v>
      </c>
      <c r="K69" s="3">
        <v>60</v>
      </c>
      <c r="N69" s="3">
        <f t="shared" si="3"/>
        <v>60</v>
      </c>
      <c r="O69" s="3">
        <v>0.02</v>
      </c>
      <c r="P69" s="3" t="s">
        <v>52</v>
      </c>
      <c r="Q69" s="3" t="s">
        <v>32</v>
      </c>
    </row>
    <row r="70" spans="1:17" s="3" customFormat="1" x14ac:dyDescent="0.3">
      <c r="A70" s="3" t="s">
        <v>7</v>
      </c>
      <c r="B70" s="3" t="s">
        <v>88</v>
      </c>
      <c r="C70" s="3">
        <v>2007</v>
      </c>
      <c r="E70" s="3" t="s">
        <v>4</v>
      </c>
      <c r="F70" s="3" t="s">
        <v>5</v>
      </c>
      <c r="G70" s="3" t="s">
        <v>89</v>
      </c>
      <c r="H70" s="3" t="s">
        <v>45</v>
      </c>
      <c r="I70" s="3">
        <v>226</v>
      </c>
      <c r="J70" s="3" t="s">
        <v>38</v>
      </c>
      <c r="K70" s="3">
        <v>42</v>
      </c>
      <c r="N70" s="3">
        <f t="shared" si="3"/>
        <v>42</v>
      </c>
      <c r="O70" s="3">
        <v>4.4999999999999998E-2</v>
      </c>
      <c r="P70" s="3" t="s">
        <v>52</v>
      </c>
      <c r="Q70" s="3" t="s">
        <v>32</v>
      </c>
    </row>
    <row r="71" spans="1:17" s="3" customFormat="1" x14ac:dyDescent="0.3">
      <c r="A71" s="3" t="s">
        <v>7</v>
      </c>
      <c r="B71" s="3" t="s">
        <v>88</v>
      </c>
      <c r="C71" s="3">
        <v>2007</v>
      </c>
      <c r="E71" s="3" t="s">
        <v>4</v>
      </c>
      <c r="F71" s="3" t="s">
        <v>5</v>
      </c>
      <c r="G71" s="3" t="s">
        <v>89</v>
      </c>
      <c r="H71" s="3" t="s">
        <v>45</v>
      </c>
      <c r="I71" s="3">
        <v>226</v>
      </c>
      <c r="J71" s="3" t="s">
        <v>39</v>
      </c>
      <c r="K71" s="3">
        <v>39</v>
      </c>
      <c r="N71" s="3">
        <f t="shared" si="3"/>
        <v>39</v>
      </c>
      <c r="O71" s="3">
        <v>0.08</v>
      </c>
      <c r="P71" s="3" t="s">
        <v>52</v>
      </c>
      <c r="Q71" s="3" t="s">
        <v>32</v>
      </c>
    </row>
    <row r="72" spans="1:17" s="3" customFormat="1" x14ac:dyDescent="0.3">
      <c r="A72" s="3" t="s">
        <v>7</v>
      </c>
      <c r="B72" s="3" t="s">
        <v>88</v>
      </c>
      <c r="C72" s="3">
        <v>2007</v>
      </c>
      <c r="E72" s="3" t="s">
        <v>4</v>
      </c>
      <c r="F72" s="3" t="s">
        <v>5</v>
      </c>
      <c r="G72" s="3" t="s">
        <v>89</v>
      </c>
      <c r="H72" s="3" t="s">
        <v>45</v>
      </c>
      <c r="I72" s="3">
        <v>226</v>
      </c>
      <c r="J72" s="3" t="s">
        <v>46</v>
      </c>
      <c r="K72" s="3">
        <v>21</v>
      </c>
      <c r="N72" s="3">
        <f t="shared" si="3"/>
        <v>21</v>
      </c>
      <c r="O72" s="3">
        <v>0.13</v>
      </c>
      <c r="P72" s="3" t="s">
        <v>52</v>
      </c>
      <c r="Q72" s="3" t="s">
        <v>32</v>
      </c>
    </row>
    <row r="73" spans="1:17" s="3" customFormat="1" x14ac:dyDescent="0.3">
      <c r="A73" s="3" t="s">
        <v>7</v>
      </c>
      <c r="B73" s="3" t="s">
        <v>88</v>
      </c>
      <c r="C73" s="3">
        <v>2007</v>
      </c>
      <c r="E73" s="3" t="s">
        <v>4</v>
      </c>
      <c r="F73" s="3" t="s">
        <v>5</v>
      </c>
      <c r="G73" s="3" t="s">
        <v>89</v>
      </c>
      <c r="H73" s="3" t="s">
        <v>45</v>
      </c>
      <c r="I73" s="3">
        <v>226</v>
      </c>
      <c r="J73" s="3" t="s">
        <v>47</v>
      </c>
      <c r="K73" s="3">
        <v>16</v>
      </c>
      <c r="N73" s="3">
        <f t="shared" si="3"/>
        <v>16</v>
      </c>
      <c r="O73" s="3">
        <v>0.18</v>
      </c>
      <c r="P73" s="3" t="s">
        <v>52</v>
      </c>
      <c r="Q73" s="3" t="s">
        <v>32</v>
      </c>
    </row>
    <row r="74" spans="1:17" s="3" customFormat="1" x14ac:dyDescent="0.3">
      <c r="A74" s="3" t="s">
        <v>7</v>
      </c>
      <c r="B74" s="3" t="s">
        <v>88</v>
      </c>
      <c r="C74" s="3">
        <v>2007</v>
      </c>
      <c r="E74" s="3" t="s">
        <v>4</v>
      </c>
      <c r="F74" s="3" t="s">
        <v>5</v>
      </c>
      <c r="G74" s="3" t="s">
        <v>89</v>
      </c>
      <c r="H74" s="3" t="s">
        <v>45</v>
      </c>
      <c r="I74" s="3">
        <v>226</v>
      </c>
      <c r="J74" s="3" t="s">
        <v>48</v>
      </c>
      <c r="K74" s="3">
        <v>12</v>
      </c>
      <c r="N74" s="3">
        <f t="shared" si="3"/>
        <v>12</v>
      </c>
      <c r="O74" s="3">
        <v>0.23</v>
      </c>
      <c r="P74" s="3" t="s">
        <v>52</v>
      </c>
      <c r="Q74" s="3" t="s">
        <v>32</v>
      </c>
    </row>
    <row r="75" spans="1:17" s="3" customFormat="1" x14ac:dyDescent="0.3">
      <c r="A75" s="3" t="s">
        <v>7</v>
      </c>
      <c r="B75" s="3" t="s">
        <v>88</v>
      </c>
      <c r="C75" s="3">
        <v>2007</v>
      </c>
      <c r="E75" s="3" t="s">
        <v>4</v>
      </c>
      <c r="F75" s="3" t="s">
        <v>5</v>
      </c>
      <c r="G75" s="3" t="s">
        <v>89</v>
      </c>
      <c r="H75" s="3" t="s">
        <v>45</v>
      </c>
      <c r="I75" s="3">
        <v>226</v>
      </c>
      <c r="J75" s="3" t="s">
        <v>49</v>
      </c>
      <c r="K75" s="3">
        <v>6</v>
      </c>
      <c r="N75" s="3">
        <f t="shared" si="3"/>
        <v>6</v>
      </c>
      <c r="O75" s="3">
        <v>0.4</v>
      </c>
      <c r="P75" s="3" t="s">
        <v>52</v>
      </c>
      <c r="Q75" s="3" t="s">
        <v>32</v>
      </c>
    </row>
    <row r="76" spans="1:17" s="3" customFormat="1" x14ac:dyDescent="0.3">
      <c r="A76" s="3" t="s">
        <v>7</v>
      </c>
      <c r="B76" s="3" t="s">
        <v>88</v>
      </c>
      <c r="C76" s="3">
        <v>2007</v>
      </c>
      <c r="E76" s="3" t="s">
        <v>4</v>
      </c>
      <c r="F76" s="3" t="s">
        <v>5</v>
      </c>
      <c r="G76" s="3" t="s">
        <v>89</v>
      </c>
      <c r="H76" s="3" t="s">
        <v>50</v>
      </c>
      <c r="I76" s="3">
        <v>168</v>
      </c>
      <c r="J76" s="3">
        <v>0</v>
      </c>
      <c r="K76" s="3">
        <v>26</v>
      </c>
      <c r="N76" s="3">
        <f t="shared" si="3"/>
        <v>26</v>
      </c>
      <c r="O76" s="3">
        <v>0</v>
      </c>
      <c r="P76" s="3" t="s">
        <v>52</v>
      </c>
      <c r="Q76" s="3" t="s">
        <v>32</v>
      </c>
    </row>
    <row r="77" spans="1:17" s="3" customFormat="1" x14ac:dyDescent="0.3">
      <c r="A77" s="3" t="s">
        <v>7</v>
      </c>
      <c r="B77" s="3" t="s">
        <v>88</v>
      </c>
      <c r="C77" s="3">
        <v>2007</v>
      </c>
      <c r="E77" s="3" t="s">
        <v>4</v>
      </c>
      <c r="F77" s="3" t="s">
        <v>5</v>
      </c>
      <c r="G77" s="3" t="s">
        <v>89</v>
      </c>
      <c r="H77" s="3" t="s">
        <v>50</v>
      </c>
      <c r="I77" s="3">
        <v>168</v>
      </c>
      <c r="J77" s="3" t="s">
        <v>35</v>
      </c>
      <c r="K77" s="3">
        <v>52</v>
      </c>
      <c r="N77" s="3">
        <f t="shared" si="3"/>
        <v>52</v>
      </c>
      <c r="O77" s="3">
        <v>2.5000000000000001E-3</v>
      </c>
      <c r="P77" s="3" t="s">
        <v>52</v>
      </c>
      <c r="Q77" s="3" t="s">
        <v>32</v>
      </c>
    </row>
    <row r="78" spans="1:17" s="3" customFormat="1" x14ac:dyDescent="0.3">
      <c r="A78" s="3" t="s">
        <v>7</v>
      </c>
      <c r="B78" s="3" t="s">
        <v>88</v>
      </c>
      <c r="C78" s="3">
        <v>2007</v>
      </c>
      <c r="E78" s="3" t="s">
        <v>4</v>
      </c>
      <c r="F78" s="3" t="s">
        <v>5</v>
      </c>
      <c r="G78" s="3" t="s">
        <v>89</v>
      </c>
      <c r="H78" s="3" t="s">
        <v>50</v>
      </c>
      <c r="I78" s="3">
        <v>168</v>
      </c>
      <c r="J78" s="3" t="s">
        <v>42</v>
      </c>
      <c r="K78" s="3">
        <v>36</v>
      </c>
      <c r="N78" s="3">
        <f t="shared" si="3"/>
        <v>36</v>
      </c>
      <c r="O78" s="3">
        <v>7.4999999999999997E-3</v>
      </c>
      <c r="P78" s="3" t="s">
        <v>52</v>
      </c>
      <c r="Q78" s="3" t="s">
        <v>32</v>
      </c>
    </row>
    <row r="79" spans="1:17" s="3" customFormat="1" x14ac:dyDescent="0.3">
      <c r="A79" s="3" t="s">
        <v>7</v>
      </c>
      <c r="B79" s="3" t="s">
        <v>88</v>
      </c>
      <c r="C79" s="3">
        <v>2007</v>
      </c>
      <c r="E79" s="3" t="s">
        <v>4</v>
      </c>
      <c r="F79" s="3" t="s">
        <v>5</v>
      </c>
      <c r="G79" s="3" t="s">
        <v>89</v>
      </c>
      <c r="H79" s="3" t="s">
        <v>50</v>
      </c>
      <c r="I79" s="3">
        <v>168</v>
      </c>
      <c r="J79" s="3" t="s">
        <v>37</v>
      </c>
      <c r="K79" s="3">
        <v>32</v>
      </c>
      <c r="N79" s="3">
        <f t="shared" si="3"/>
        <v>32</v>
      </c>
      <c r="O79" s="3">
        <v>0.02</v>
      </c>
      <c r="P79" s="3" t="s">
        <v>52</v>
      </c>
      <c r="Q79" s="3" t="s">
        <v>32</v>
      </c>
    </row>
    <row r="80" spans="1:17" s="3" customFormat="1" x14ac:dyDescent="0.3">
      <c r="A80" s="3" t="s">
        <v>7</v>
      </c>
      <c r="B80" s="3" t="s">
        <v>88</v>
      </c>
      <c r="C80" s="3">
        <v>2007</v>
      </c>
      <c r="E80" s="3" t="s">
        <v>4</v>
      </c>
      <c r="F80" s="3" t="s">
        <v>5</v>
      </c>
      <c r="G80" s="3" t="s">
        <v>89</v>
      </c>
      <c r="H80" s="3" t="s">
        <v>50</v>
      </c>
      <c r="I80" s="3">
        <v>168</v>
      </c>
      <c r="J80" s="3" t="s">
        <v>38</v>
      </c>
      <c r="K80" s="3">
        <v>10</v>
      </c>
      <c r="N80" s="3">
        <f t="shared" si="3"/>
        <v>10</v>
      </c>
      <c r="O80" s="3">
        <v>4.4999999999999998E-2</v>
      </c>
      <c r="P80" s="3" t="s">
        <v>52</v>
      </c>
      <c r="Q80" s="3" t="s">
        <v>32</v>
      </c>
    </row>
    <row r="81" spans="1:20" s="3" customFormat="1" x14ac:dyDescent="0.3">
      <c r="A81" s="3" t="s">
        <v>7</v>
      </c>
      <c r="B81" s="3" t="s">
        <v>88</v>
      </c>
      <c r="C81" s="3">
        <v>2007</v>
      </c>
      <c r="E81" s="3" t="s">
        <v>4</v>
      </c>
      <c r="F81" s="3" t="s">
        <v>5</v>
      </c>
      <c r="G81" s="3" t="s">
        <v>89</v>
      </c>
      <c r="H81" s="3" t="s">
        <v>50</v>
      </c>
      <c r="I81" s="3">
        <v>168</v>
      </c>
      <c r="J81" s="3" t="s">
        <v>39</v>
      </c>
      <c r="K81" s="3">
        <v>9</v>
      </c>
      <c r="N81" s="3">
        <f t="shared" si="3"/>
        <v>9</v>
      </c>
      <c r="O81" s="3">
        <v>0.08</v>
      </c>
      <c r="P81" s="3" t="s">
        <v>52</v>
      </c>
      <c r="Q81" s="3" t="s">
        <v>32</v>
      </c>
    </row>
    <row r="82" spans="1:20" s="3" customFormat="1" x14ac:dyDescent="0.3">
      <c r="A82" s="3" t="s">
        <v>7</v>
      </c>
      <c r="B82" s="3" t="s">
        <v>88</v>
      </c>
      <c r="C82" s="3">
        <v>2007</v>
      </c>
      <c r="E82" s="3" t="s">
        <v>4</v>
      </c>
      <c r="F82" s="3" t="s">
        <v>5</v>
      </c>
      <c r="G82" s="3" t="s">
        <v>89</v>
      </c>
      <c r="H82" s="3" t="s">
        <v>50</v>
      </c>
      <c r="I82" s="3">
        <v>168</v>
      </c>
      <c r="J82" s="3" t="s">
        <v>46</v>
      </c>
      <c r="K82" s="3">
        <v>2</v>
      </c>
      <c r="N82" s="3">
        <f t="shared" si="3"/>
        <v>2</v>
      </c>
      <c r="O82" s="3">
        <v>0.13</v>
      </c>
      <c r="P82" s="3" t="s">
        <v>52</v>
      </c>
      <c r="Q82" s="3" t="s">
        <v>32</v>
      </c>
    </row>
    <row r="83" spans="1:20" s="3" customFormat="1" x14ac:dyDescent="0.3">
      <c r="A83" s="3" t="s">
        <v>7</v>
      </c>
      <c r="B83" s="3" t="s">
        <v>88</v>
      </c>
      <c r="C83" s="3">
        <v>2007</v>
      </c>
      <c r="E83" s="3" t="s">
        <v>4</v>
      </c>
      <c r="F83" s="3" t="s">
        <v>5</v>
      </c>
      <c r="G83" s="3" t="s">
        <v>89</v>
      </c>
      <c r="H83" s="3" t="s">
        <v>50</v>
      </c>
      <c r="I83" s="3">
        <v>168</v>
      </c>
      <c r="J83" s="3" t="s">
        <v>47</v>
      </c>
      <c r="K83" s="3">
        <v>1</v>
      </c>
      <c r="N83" s="3">
        <f t="shared" si="3"/>
        <v>1</v>
      </c>
      <c r="O83" s="3">
        <v>0.18</v>
      </c>
      <c r="P83" s="3" t="s">
        <v>52</v>
      </c>
      <c r="Q83" s="3" t="s">
        <v>32</v>
      </c>
    </row>
    <row r="84" spans="1:20" s="3" customFormat="1" x14ac:dyDescent="0.3">
      <c r="A84" s="3" t="s">
        <v>7</v>
      </c>
      <c r="B84" s="3" t="s">
        <v>88</v>
      </c>
      <c r="C84" s="3">
        <v>2007</v>
      </c>
      <c r="E84" s="3" t="s">
        <v>4</v>
      </c>
      <c r="F84" s="3" t="s">
        <v>5</v>
      </c>
      <c r="G84" s="3" t="s">
        <v>89</v>
      </c>
      <c r="H84" s="3" t="s">
        <v>50</v>
      </c>
      <c r="I84" s="3">
        <v>168</v>
      </c>
      <c r="J84" s="3" t="s">
        <v>48</v>
      </c>
      <c r="K84" s="3">
        <v>0</v>
      </c>
      <c r="N84" s="3">
        <f t="shared" si="3"/>
        <v>0</v>
      </c>
      <c r="O84" s="3">
        <v>0.23</v>
      </c>
      <c r="P84" s="3" t="s">
        <v>52</v>
      </c>
      <c r="Q84" s="3" t="s">
        <v>32</v>
      </c>
    </row>
    <row r="85" spans="1:20" s="3" customFormat="1" x14ac:dyDescent="0.3">
      <c r="A85" s="3" t="s">
        <v>7</v>
      </c>
      <c r="B85" s="3" t="s">
        <v>88</v>
      </c>
      <c r="C85" s="3">
        <v>2007</v>
      </c>
      <c r="E85" s="3" t="s">
        <v>4</v>
      </c>
      <c r="F85" s="3" t="s">
        <v>5</v>
      </c>
      <c r="G85" s="3" t="s">
        <v>89</v>
      </c>
      <c r="H85" s="3" t="s">
        <v>50</v>
      </c>
      <c r="I85" s="3">
        <v>168</v>
      </c>
      <c r="J85" s="3" t="s">
        <v>49</v>
      </c>
      <c r="K85" s="3">
        <v>0</v>
      </c>
      <c r="N85" s="3">
        <f t="shared" si="3"/>
        <v>0</v>
      </c>
      <c r="O85" s="3">
        <v>0.4</v>
      </c>
      <c r="P85" s="3" t="s">
        <v>52</v>
      </c>
      <c r="Q85" s="3" t="s">
        <v>32</v>
      </c>
    </row>
    <row r="86" spans="1:20" x14ac:dyDescent="0.3">
      <c r="A86" t="s">
        <v>8</v>
      </c>
      <c r="B86" t="s">
        <v>34</v>
      </c>
      <c r="C86">
        <v>2008</v>
      </c>
      <c r="E86" t="s">
        <v>4</v>
      </c>
      <c r="F86" t="s">
        <v>5</v>
      </c>
      <c r="G86" t="s">
        <v>56</v>
      </c>
      <c r="H86" t="s">
        <v>41</v>
      </c>
      <c r="I86">
        <v>178</v>
      </c>
      <c r="J86">
        <v>0</v>
      </c>
      <c r="K86" s="2">
        <v>73</v>
      </c>
      <c r="N86" s="7">
        <f>K86</f>
        <v>73</v>
      </c>
      <c r="O86" s="7">
        <v>0</v>
      </c>
      <c r="P86" t="s">
        <v>52</v>
      </c>
      <c r="Q86" t="s">
        <v>32</v>
      </c>
      <c r="R86" t="s">
        <v>51</v>
      </c>
      <c r="T86" t="s">
        <v>163</v>
      </c>
    </row>
    <row r="87" spans="1:20" x14ac:dyDescent="0.3">
      <c r="A87" t="s">
        <v>8</v>
      </c>
      <c r="B87" t="s">
        <v>34</v>
      </c>
      <c r="C87">
        <v>2008</v>
      </c>
      <c r="E87" t="s">
        <v>4</v>
      </c>
      <c r="F87" t="s">
        <v>5</v>
      </c>
      <c r="G87" t="s">
        <v>56</v>
      </c>
      <c r="H87" t="s">
        <v>41</v>
      </c>
      <c r="I87">
        <v>178</v>
      </c>
      <c r="J87" t="s">
        <v>35</v>
      </c>
      <c r="K87" s="2">
        <v>73</v>
      </c>
      <c r="N87" s="7">
        <f>K87</f>
        <v>73</v>
      </c>
      <c r="O87" s="7">
        <v>2.5000000000000001E-3</v>
      </c>
      <c r="P87" t="s">
        <v>52</v>
      </c>
      <c r="Q87" t="s">
        <v>32</v>
      </c>
    </row>
    <row r="88" spans="1:20" x14ac:dyDescent="0.3">
      <c r="A88" t="s">
        <v>8</v>
      </c>
      <c r="B88" t="s">
        <v>34</v>
      </c>
      <c r="C88">
        <v>2008</v>
      </c>
      <c r="E88" t="s">
        <v>4</v>
      </c>
      <c r="F88" t="s">
        <v>5</v>
      </c>
      <c r="G88" t="s">
        <v>56</v>
      </c>
      <c r="H88" t="s">
        <v>41</v>
      </c>
      <c r="I88">
        <v>178</v>
      </c>
      <c r="J88" t="s">
        <v>36</v>
      </c>
      <c r="K88" s="2">
        <v>19</v>
      </c>
      <c r="N88" s="7">
        <f>K88</f>
        <v>19</v>
      </c>
      <c r="O88" s="7">
        <v>7.4999999999999997E-3</v>
      </c>
      <c r="P88" t="s">
        <v>52</v>
      </c>
      <c r="Q88" t="s">
        <v>32</v>
      </c>
    </row>
    <row r="89" spans="1:20" x14ac:dyDescent="0.3">
      <c r="A89" t="s">
        <v>8</v>
      </c>
      <c r="B89" t="s">
        <v>34</v>
      </c>
      <c r="C89">
        <v>2008</v>
      </c>
      <c r="E89" t="s">
        <v>4</v>
      </c>
      <c r="F89" t="s">
        <v>5</v>
      </c>
      <c r="G89" t="s">
        <v>56</v>
      </c>
      <c r="H89" t="s">
        <v>41</v>
      </c>
      <c r="I89">
        <v>178</v>
      </c>
      <c r="J89" s="6" t="s">
        <v>37</v>
      </c>
      <c r="K89" s="2">
        <v>9</v>
      </c>
      <c r="L89" s="6"/>
      <c r="N89" s="7">
        <f t="shared" ref="N89:N125" si="4">K89</f>
        <v>9</v>
      </c>
      <c r="O89" s="7">
        <v>0.02</v>
      </c>
      <c r="P89" t="s">
        <v>52</v>
      </c>
      <c r="Q89" t="s">
        <v>32</v>
      </c>
    </row>
    <row r="90" spans="1:20" x14ac:dyDescent="0.3">
      <c r="A90" t="s">
        <v>8</v>
      </c>
      <c r="B90" t="s">
        <v>34</v>
      </c>
      <c r="C90">
        <v>2008</v>
      </c>
      <c r="E90" t="s">
        <v>4</v>
      </c>
      <c r="F90" t="s">
        <v>5</v>
      </c>
      <c r="G90" t="s">
        <v>56</v>
      </c>
      <c r="H90" t="s">
        <v>41</v>
      </c>
      <c r="I90">
        <v>178</v>
      </c>
      <c r="J90" t="s">
        <v>38</v>
      </c>
      <c r="K90" s="2">
        <v>3</v>
      </c>
      <c r="N90" s="7">
        <f t="shared" si="4"/>
        <v>3</v>
      </c>
      <c r="O90" s="7">
        <v>4.4999999999999998E-2</v>
      </c>
      <c r="P90" t="s">
        <v>52</v>
      </c>
      <c r="Q90" t="s">
        <v>32</v>
      </c>
    </row>
    <row r="91" spans="1:20" x14ac:dyDescent="0.3">
      <c r="A91" t="s">
        <v>8</v>
      </c>
      <c r="B91" t="s">
        <v>34</v>
      </c>
      <c r="C91">
        <v>2008</v>
      </c>
      <c r="E91" t="s">
        <v>4</v>
      </c>
      <c r="F91" t="s">
        <v>5</v>
      </c>
      <c r="G91" t="s">
        <v>56</v>
      </c>
      <c r="H91" t="s">
        <v>41</v>
      </c>
      <c r="I91">
        <v>178</v>
      </c>
      <c r="J91" t="s">
        <v>39</v>
      </c>
      <c r="K91" s="2">
        <v>1</v>
      </c>
      <c r="N91" s="7">
        <f t="shared" si="4"/>
        <v>1</v>
      </c>
      <c r="O91" s="7">
        <v>0.08</v>
      </c>
      <c r="P91" t="s">
        <v>52</v>
      </c>
      <c r="Q91" t="s">
        <v>32</v>
      </c>
    </row>
    <row r="92" spans="1:20" x14ac:dyDescent="0.3">
      <c r="A92" t="s">
        <v>8</v>
      </c>
      <c r="B92" t="s">
        <v>34</v>
      </c>
      <c r="C92">
        <v>2008</v>
      </c>
      <c r="E92" t="s">
        <v>4</v>
      </c>
      <c r="F92" t="s">
        <v>5</v>
      </c>
      <c r="G92" t="s">
        <v>56</v>
      </c>
      <c r="H92" t="s">
        <v>41</v>
      </c>
      <c r="I92">
        <v>178</v>
      </c>
      <c r="J92" t="s">
        <v>46</v>
      </c>
      <c r="K92" s="2">
        <v>0</v>
      </c>
      <c r="N92" s="7">
        <f t="shared" si="4"/>
        <v>0</v>
      </c>
      <c r="O92" s="7">
        <v>0.13</v>
      </c>
      <c r="P92" t="s">
        <v>52</v>
      </c>
      <c r="Q92" t="s">
        <v>32</v>
      </c>
    </row>
    <row r="93" spans="1:20" x14ac:dyDescent="0.3">
      <c r="A93" t="s">
        <v>8</v>
      </c>
      <c r="B93" t="s">
        <v>34</v>
      </c>
      <c r="C93">
        <v>2008</v>
      </c>
      <c r="E93" t="s">
        <v>4</v>
      </c>
      <c r="F93" t="s">
        <v>5</v>
      </c>
      <c r="G93" t="s">
        <v>56</v>
      </c>
      <c r="H93" t="s">
        <v>41</v>
      </c>
      <c r="I93">
        <v>178</v>
      </c>
      <c r="J93" t="s">
        <v>47</v>
      </c>
      <c r="K93" s="2">
        <v>0</v>
      </c>
      <c r="N93" s="7">
        <f t="shared" si="4"/>
        <v>0</v>
      </c>
      <c r="O93" s="7">
        <v>0.18</v>
      </c>
      <c r="P93" t="s">
        <v>52</v>
      </c>
      <c r="Q93" t="s">
        <v>32</v>
      </c>
    </row>
    <row r="94" spans="1:20" x14ac:dyDescent="0.3">
      <c r="A94" t="s">
        <v>8</v>
      </c>
      <c r="B94" t="s">
        <v>34</v>
      </c>
      <c r="C94">
        <v>2008</v>
      </c>
      <c r="E94" t="s">
        <v>4</v>
      </c>
      <c r="F94" t="s">
        <v>5</v>
      </c>
      <c r="G94" t="s">
        <v>56</v>
      </c>
      <c r="H94" t="s">
        <v>41</v>
      </c>
      <c r="I94">
        <v>178</v>
      </c>
      <c r="J94" t="s">
        <v>48</v>
      </c>
      <c r="K94" s="2">
        <v>0</v>
      </c>
      <c r="N94" s="7">
        <f t="shared" si="4"/>
        <v>0</v>
      </c>
      <c r="O94" s="7">
        <v>0.23</v>
      </c>
      <c r="P94" t="s">
        <v>52</v>
      </c>
      <c r="Q94" t="s">
        <v>32</v>
      </c>
    </row>
    <row r="95" spans="1:20" x14ac:dyDescent="0.3">
      <c r="A95" t="s">
        <v>8</v>
      </c>
      <c r="B95" t="s">
        <v>34</v>
      </c>
      <c r="C95">
        <v>2008</v>
      </c>
      <c r="E95" t="s">
        <v>4</v>
      </c>
      <c r="F95" t="s">
        <v>5</v>
      </c>
      <c r="G95" t="s">
        <v>56</v>
      </c>
      <c r="H95" t="s">
        <v>41</v>
      </c>
      <c r="I95">
        <v>178</v>
      </c>
      <c r="J95" t="s">
        <v>49</v>
      </c>
      <c r="K95" s="2">
        <v>0</v>
      </c>
      <c r="N95" s="7">
        <f t="shared" si="4"/>
        <v>0</v>
      </c>
      <c r="O95" s="7">
        <v>0.4</v>
      </c>
      <c r="P95" t="s">
        <v>52</v>
      </c>
      <c r="Q95" t="s">
        <v>32</v>
      </c>
    </row>
    <row r="96" spans="1:20" x14ac:dyDescent="0.3">
      <c r="A96" t="s">
        <v>8</v>
      </c>
      <c r="B96" t="s">
        <v>34</v>
      </c>
      <c r="C96">
        <v>2008</v>
      </c>
      <c r="E96" t="s">
        <v>4</v>
      </c>
      <c r="F96" t="s">
        <v>5</v>
      </c>
      <c r="G96" t="s">
        <v>56</v>
      </c>
      <c r="H96" t="s">
        <v>44</v>
      </c>
      <c r="I96">
        <v>23</v>
      </c>
      <c r="J96">
        <v>0</v>
      </c>
      <c r="K96" s="2">
        <v>11</v>
      </c>
      <c r="N96" s="7">
        <f t="shared" si="4"/>
        <v>11</v>
      </c>
      <c r="O96" s="7">
        <v>0</v>
      </c>
      <c r="P96" t="s">
        <v>52</v>
      </c>
      <c r="Q96" t="s">
        <v>32</v>
      </c>
    </row>
    <row r="97" spans="1:17" x14ac:dyDescent="0.3">
      <c r="A97" t="s">
        <v>8</v>
      </c>
      <c r="B97" t="s">
        <v>34</v>
      </c>
      <c r="C97">
        <v>2008</v>
      </c>
      <c r="E97" t="s">
        <v>4</v>
      </c>
      <c r="F97" t="s">
        <v>5</v>
      </c>
      <c r="G97" t="s">
        <v>56</v>
      </c>
      <c r="H97" t="s">
        <v>44</v>
      </c>
      <c r="I97">
        <v>23</v>
      </c>
      <c r="J97" s="2" t="s">
        <v>35</v>
      </c>
      <c r="K97" s="2">
        <v>10</v>
      </c>
      <c r="L97" s="2"/>
      <c r="N97" s="7">
        <f t="shared" si="4"/>
        <v>10</v>
      </c>
      <c r="O97" s="7">
        <v>2.5000000000000001E-3</v>
      </c>
      <c r="P97" t="s">
        <v>52</v>
      </c>
      <c r="Q97" t="s">
        <v>32</v>
      </c>
    </row>
    <row r="98" spans="1:17" x14ac:dyDescent="0.3">
      <c r="A98" t="s">
        <v>8</v>
      </c>
      <c r="B98" t="s">
        <v>34</v>
      </c>
      <c r="C98">
        <v>2008</v>
      </c>
      <c r="E98" t="s">
        <v>4</v>
      </c>
      <c r="F98" t="s">
        <v>5</v>
      </c>
      <c r="G98" t="s">
        <v>56</v>
      </c>
      <c r="H98" t="s">
        <v>44</v>
      </c>
      <c r="I98">
        <v>23</v>
      </c>
      <c r="J98" s="2" t="s">
        <v>36</v>
      </c>
      <c r="K98" s="2">
        <v>1</v>
      </c>
      <c r="L98" s="2"/>
      <c r="N98" s="7">
        <f t="shared" si="4"/>
        <v>1</v>
      </c>
      <c r="O98" s="7">
        <v>7.4999999999999997E-3</v>
      </c>
      <c r="P98" t="s">
        <v>52</v>
      </c>
      <c r="Q98" t="s">
        <v>32</v>
      </c>
    </row>
    <row r="99" spans="1:17" x14ac:dyDescent="0.3">
      <c r="A99" t="s">
        <v>8</v>
      </c>
      <c r="B99" t="s">
        <v>34</v>
      </c>
      <c r="C99">
        <v>2008</v>
      </c>
      <c r="E99" t="s">
        <v>4</v>
      </c>
      <c r="F99" t="s">
        <v>5</v>
      </c>
      <c r="G99" t="s">
        <v>56</v>
      </c>
      <c r="H99" t="s">
        <v>44</v>
      </c>
      <c r="I99">
        <v>23</v>
      </c>
      <c r="J99" s="2" t="s">
        <v>37</v>
      </c>
      <c r="K99" s="2">
        <v>1</v>
      </c>
      <c r="L99" s="2"/>
      <c r="N99" s="7">
        <f t="shared" si="4"/>
        <v>1</v>
      </c>
      <c r="O99" s="7">
        <v>0.02</v>
      </c>
      <c r="P99" t="s">
        <v>52</v>
      </c>
      <c r="Q99" t="s">
        <v>32</v>
      </c>
    </row>
    <row r="100" spans="1:17" x14ac:dyDescent="0.3">
      <c r="A100" t="s">
        <v>8</v>
      </c>
      <c r="B100" t="s">
        <v>34</v>
      </c>
      <c r="C100">
        <v>2008</v>
      </c>
      <c r="E100" t="s">
        <v>4</v>
      </c>
      <c r="F100" t="s">
        <v>5</v>
      </c>
      <c r="G100" t="s">
        <v>56</v>
      </c>
      <c r="H100" t="s">
        <v>44</v>
      </c>
      <c r="I100">
        <v>23</v>
      </c>
      <c r="J100" s="2" t="s">
        <v>38</v>
      </c>
      <c r="K100" s="2">
        <v>0</v>
      </c>
      <c r="L100" s="2"/>
      <c r="N100" s="7">
        <f t="shared" si="4"/>
        <v>0</v>
      </c>
      <c r="O100" s="7">
        <v>4.4999999999999998E-2</v>
      </c>
      <c r="P100" t="s">
        <v>52</v>
      </c>
      <c r="Q100" t="s">
        <v>32</v>
      </c>
    </row>
    <row r="101" spans="1:17" x14ac:dyDescent="0.3">
      <c r="A101" t="s">
        <v>8</v>
      </c>
      <c r="B101" t="s">
        <v>34</v>
      </c>
      <c r="C101">
        <v>2008</v>
      </c>
      <c r="E101" t="s">
        <v>4</v>
      </c>
      <c r="F101" t="s">
        <v>5</v>
      </c>
      <c r="G101" t="s">
        <v>56</v>
      </c>
      <c r="H101" t="s">
        <v>44</v>
      </c>
      <c r="I101">
        <v>23</v>
      </c>
      <c r="J101" s="2" t="s">
        <v>39</v>
      </c>
      <c r="K101" s="2">
        <v>0</v>
      </c>
      <c r="L101" s="2"/>
      <c r="N101" s="7">
        <f t="shared" si="4"/>
        <v>0</v>
      </c>
      <c r="O101" s="7">
        <v>0.08</v>
      </c>
      <c r="P101" t="s">
        <v>52</v>
      </c>
      <c r="Q101" t="s">
        <v>32</v>
      </c>
    </row>
    <row r="102" spans="1:17" x14ac:dyDescent="0.3">
      <c r="A102" t="s">
        <v>8</v>
      </c>
      <c r="B102" t="s">
        <v>34</v>
      </c>
      <c r="C102">
        <v>2008</v>
      </c>
      <c r="E102" t="s">
        <v>4</v>
      </c>
      <c r="F102" t="s">
        <v>5</v>
      </c>
      <c r="G102" t="s">
        <v>56</v>
      </c>
      <c r="H102" t="s">
        <v>44</v>
      </c>
      <c r="I102">
        <v>23</v>
      </c>
      <c r="J102" s="2" t="s">
        <v>46</v>
      </c>
      <c r="K102" s="2">
        <v>0</v>
      </c>
      <c r="L102" s="2"/>
      <c r="N102" s="7">
        <f t="shared" si="4"/>
        <v>0</v>
      </c>
      <c r="O102" s="7">
        <v>0.13</v>
      </c>
      <c r="P102" t="s">
        <v>52</v>
      </c>
      <c r="Q102" t="s">
        <v>32</v>
      </c>
    </row>
    <row r="103" spans="1:17" x14ac:dyDescent="0.3">
      <c r="A103" t="s">
        <v>8</v>
      </c>
      <c r="B103" t="s">
        <v>34</v>
      </c>
      <c r="C103">
        <v>2008</v>
      </c>
      <c r="E103" t="s">
        <v>4</v>
      </c>
      <c r="F103" t="s">
        <v>5</v>
      </c>
      <c r="G103" t="s">
        <v>56</v>
      </c>
      <c r="H103" t="s">
        <v>44</v>
      </c>
      <c r="I103">
        <v>23</v>
      </c>
      <c r="J103" s="2" t="s">
        <v>47</v>
      </c>
      <c r="K103" s="2">
        <v>0</v>
      </c>
      <c r="L103" s="2"/>
      <c r="N103" s="7">
        <f t="shared" si="4"/>
        <v>0</v>
      </c>
      <c r="O103" s="7">
        <v>0.18</v>
      </c>
      <c r="P103" t="s">
        <v>52</v>
      </c>
      <c r="Q103" t="s">
        <v>32</v>
      </c>
    </row>
    <row r="104" spans="1:17" x14ac:dyDescent="0.3">
      <c r="A104" t="s">
        <v>8</v>
      </c>
      <c r="B104" t="s">
        <v>34</v>
      </c>
      <c r="C104">
        <v>2008</v>
      </c>
      <c r="E104" t="s">
        <v>4</v>
      </c>
      <c r="F104" t="s">
        <v>5</v>
      </c>
      <c r="G104" t="s">
        <v>56</v>
      </c>
      <c r="H104" t="s">
        <v>44</v>
      </c>
      <c r="I104">
        <v>23</v>
      </c>
      <c r="J104" s="2" t="s">
        <v>48</v>
      </c>
      <c r="K104" s="2">
        <v>0</v>
      </c>
      <c r="L104" s="2"/>
      <c r="N104" s="7">
        <f t="shared" si="4"/>
        <v>0</v>
      </c>
      <c r="O104" s="7">
        <v>0.23</v>
      </c>
      <c r="P104" t="s">
        <v>52</v>
      </c>
      <c r="Q104" t="s">
        <v>32</v>
      </c>
    </row>
    <row r="105" spans="1:17" x14ac:dyDescent="0.3">
      <c r="A105" t="s">
        <v>8</v>
      </c>
      <c r="B105" t="s">
        <v>34</v>
      </c>
      <c r="C105">
        <v>2008</v>
      </c>
      <c r="E105" t="s">
        <v>4</v>
      </c>
      <c r="F105" t="s">
        <v>5</v>
      </c>
      <c r="G105" t="s">
        <v>56</v>
      </c>
      <c r="H105" t="s">
        <v>44</v>
      </c>
      <c r="I105">
        <v>23</v>
      </c>
      <c r="J105" s="2" t="s">
        <v>49</v>
      </c>
      <c r="K105" s="2">
        <v>0</v>
      </c>
      <c r="L105" s="2"/>
      <c r="N105" s="7">
        <f t="shared" si="4"/>
        <v>0</v>
      </c>
      <c r="O105" s="7">
        <v>0.4</v>
      </c>
      <c r="P105" t="s">
        <v>52</v>
      </c>
      <c r="Q105" t="s">
        <v>32</v>
      </c>
    </row>
    <row r="106" spans="1:17" x14ac:dyDescent="0.3">
      <c r="A106" t="s">
        <v>8</v>
      </c>
      <c r="B106" t="s">
        <v>34</v>
      </c>
      <c r="C106">
        <v>2008</v>
      </c>
      <c r="E106" t="s">
        <v>4</v>
      </c>
      <c r="F106" t="s">
        <v>5</v>
      </c>
      <c r="G106" t="s">
        <v>56</v>
      </c>
      <c r="H106" t="s">
        <v>45</v>
      </c>
      <c r="I106">
        <v>143</v>
      </c>
      <c r="J106" s="2">
        <v>0</v>
      </c>
      <c r="K106" s="2">
        <v>0</v>
      </c>
      <c r="L106" s="2"/>
      <c r="N106" s="7">
        <f t="shared" si="4"/>
        <v>0</v>
      </c>
      <c r="O106" s="7">
        <v>0</v>
      </c>
      <c r="P106" t="s">
        <v>52</v>
      </c>
      <c r="Q106" t="s">
        <v>32</v>
      </c>
    </row>
    <row r="107" spans="1:17" x14ac:dyDescent="0.3">
      <c r="A107" t="s">
        <v>8</v>
      </c>
      <c r="B107" t="s">
        <v>34</v>
      </c>
      <c r="C107">
        <v>2008</v>
      </c>
      <c r="E107" t="s">
        <v>4</v>
      </c>
      <c r="F107" t="s">
        <v>5</v>
      </c>
      <c r="G107" t="s">
        <v>56</v>
      </c>
      <c r="H107" t="s">
        <v>45</v>
      </c>
      <c r="I107">
        <v>143</v>
      </c>
      <c r="J107" s="2" t="s">
        <v>35</v>
      </c>
      <c r="K107" s="2">
        <v>4</v>
      </c>
      <c r="L107" s="2"/>
      <c r="N107" s="7">
        <f t="shared" si="4"/>
        <v>4</v>
      </c>
      <c r="O107" s="7">
        <v>2.5000000000000001E-3</v>
      </c>
      <c r="P107" t="s">
        <v>52</v>
      </c>
      <c r="Q107" t="s">
        <v>32</v>
      </c>
    </row>
    <row r="108" spans="1:17" x14ac:dyDescent="0.3">
      <c r="A108" t="s">
        <v>8</v>
      </c>
      <c r="B108" t="s">
        <v>34</v>
      </c>
      <c r="C108">
        <v>2008</v>
      </c>
      <c r="E108" t="s">
        <v>4</v>
      </c>
      <c r="F108" t="s">
        <v>5</v>
      </c>
      <c r="G108" t="s">
        <v>56</v>
      </c>
      <c r="H108" t="s">
        <v>45</v>
      </c>
      <c r="I108">
        <v>143</v>
      </c>
      <c r="J108" s="2" t="s">
        <v>36</v>
      </c>
      <c r="K108" s="2">
        <v>6</v>
      </c>
      <c r="L108" s="2"/>
      <c r="N108" s="7">
        <f t="shared" si="4"/>
        <v>6</v>
      </c>
      <c r="O108" s="7">
        <v>7.4999999999999997E-3</v>
      </c>
      <c r="P108" t="s">
        <v>52</v>
      </c>
      <c r="Q108" t="s">
        <v>32</v>
      </c>
    </row>
    <row r="109" spans="1:17" x14ac:dyDescent="0.3">
      <c r="A109" t="s">
        <v>8</v>
      </c>
      <c r="B109" t="s">
        <v>34</v>
      </c>
      <c r="C109">
        <v>2008</v>
      </c>
      <c r="E109" t="s">
        <v>4</v>
      </c>
      <c r="F109" t="s">
        <v>5</v>
      </c>
      <c r="G109" t="s">
        <v>56</v>
      </c>
      <c r="H109" t="s">
        <v>45</v>
      </c>
      <c r="I109">
        <v>143</v>
      </c>
      <c r="J109" s="2" t="s">
        <v>37</v>
      </c>
      <c r="K109" s="2">
        <v>24</v>
      </c>
      <c r="L109" s="2"/>
      <c r="N109" s="7">
        <f t="shared" si="4"/>
        <v>24</v>
      </c>
      <c r="O109" s="7">
        <v>0.02</v>
      </c>
      <c r="P109" t="s">
        <v>52</v>
      </c>
      <c r="Q109" t="s">
        <v>32</v>
      </c>
    </row>
    <row r="110" spans="1:17" x14ac:dyDescent="0.3">
      <c r="A110" t="s">
        <v>8</v>
      </c>
      <c r="B110" t="s">
        <v>34</v>
      </c>
      <c r="C110">
        <v>2008</v>
      </c>
      <c r="E110" t="s">
        <v>4</v>
      </c>
      <c r="F110" t="s">
        <v>5</v>
      </c>
      <c r="G110" t="s">
        <v>56</v>
      </c>
      <c r="H110" t="s">
        <v>45</v>
      </c>
      <c r="I110">
        <v>143</v>
      </c>
      <c r="J110" s="2" t="s">
        <v>38</v>
      </c>
      <c r="K110" s="2">
        <v>35</v>
      </c>
      <c r="L110" s="2"/>
      <c r="N110" s="7">
        <f t="shared" si="4"/>
        <v>35</v>
      </c>
      <c r="O110" s="7">
        <v>4.4999999999999998E-2</v>
      </c>
      <c r="P110" t="s">
        <v>52</v>
      </c>
      <c r="Q110" t="s">
        <v>32</v>
      </c>
    </row>
    <row r="111" spans="1:17" x14ac:dyDescent="0.3">
      <c r="A111" t="s">
        <v>8</v>
      </c>
      <c r="B111" t="s">
        <v>34</v>
      </c>
      <c r="C111">
        <v>2008</v>
      </c>
      <c r="E111" t="s">
        <v>4</v>
      </c>
      <c r="F111" t="s">
        <v>5</v>
      </c>
      <c r="G111" t="s">
        <v>56</v>
      </c>
      <c r="H111" t="s">
        <v>45</v>
      </c>
      <c r="I111">
        <v>143</v>
      </c>
      <c r="J111" s="2" t="s">
        <v>39</v>
      </c>
      <c r="K111" s="2">
        <v>32</v>
      </c>
      <c r="L111" s="2"/>
      <c r="N111" s="7">
        <f t="shared" si="4"/>
        <v>32</v>
      </c>
      <c r="O111" s="7">
        <v>0.08</v>
      </c>
      <c r="P111" t="s">
        <v>52</v>
      </c>
      <c r="Q111" t="s">
        <v>32</v>
      </c>
    </row>
    <row r="112" spans="1:17" x14ac:dyDescent="0.3">
      <c r="A112" t="s">
        <v>8</v>
      </c>
      <c r="B112" t="s">
        <v>34</v>
      </c>
      <c r="C112">
        <v>2008</v>
      </c>
      <c r="E112" t="s">
        <v>4</v>
      </c>
      <c r="F112" t="s">
        <v>5</v>
      </c>
      <c r="G112" t="s">
        <v>56</v>
      </c>
      <c r="H112" t="s">
        <v>45</v>
      </c>
      <c r="I112">
        <v>143</v>
      </c>
      <c r="J112" s="2" t="s">
        <v>46</v>
      </c>
      <c r="K112" s="2">
        <v>14</v>
      </c>
      <c r="L112" s="2"/>
      <c r="N112" s="7">
        <f t="shared" si="4"/>
        <v>14</v>
      </c>
      <c r="O112" s="7">
        <v>0.13</v>
      </c>
      <c r="P112" t="s">
        <v>52</v>
      </c>
      <c r="Q112" t="s">
        <v>32</v>
      </c>
    </row>
    <row r="113" spans="1:20" x14ac:dyDescent="0.3">
      <c r="A113" t="s">
        <v>8</v>
      </c>
      <c r="B113" t="s">
        <v>34</v>
      </c>
      <c r="C113">
        <v>2008</v>
      </c>
      <c r="E113" t="s">
        <v>4</v>
      </c>
      <c r="F113" t="s">
        <v>5</v>
      </c>
      <c r="G113" t="s">
        <v>56</v>
      </c>
      <c r="H113" t="s">
        <v>45</v>
      </c>
      <c r="I113">
        <v>143</v>
      </c>
      <c r="J113" s="2" t="s">
        <v>47</v>
      </c>
      <c r="K113" s="2">
        <v>9</v>
      </c>
      <c r="L113" s="2"/>
      <c r="N113" s="7">
        <f t="shared" si="4"/>
        <v>9</v>
      </c>
      <c r="O113" s="7">
        <v>0.18</v>
      </c>
      <c r="P113" t="s">
        <v>52</v>
      </c>
      <c r="Q113" t="s">
        <v>32</v>
      </c>
    </row>
    <row r="114" spans="1:20" x14ac:dyDescent="0.3">
      <c r="A114" t="s">
        <v>8</v>
      </c>
      <c r="B114" t="s">
        <v>34</v>
      </c>
      <c r="C114">
        <v>2008</v>
      </c>
      <c r="E114" t="s">
        <v>4</v>
      </c>
      <c r="F114" t="s">
        <v>5</v>
      </c>
      <c r="G114" t="s">
        <v>56</v>
      </c>
      <c r="H114" t="s">
        <v>45</v>
      </c>
      <c r="I114">
        <v>143</v>
      </c>
      <c r="J114" s="2" t="s">
        <v>48</v>
      </c>
      <c r="K114" s="2">
        <v>10</v>
      </c>
      <c r="L114" s="2"/>
      <c r="N114" s="7">
        <f t="shared" si="4"/>
        <v>10</v>
      </c>
      <c r="O114" s="7">
        <v>0.23</v>
      </c>
      <c r="P114" t="s">
        <v>52</v>
      </c>
      <c r="Q114" t="s">
        <v>32</v>
      </c>
    </row>
    <row r="115" spans="1:20" x14ac:dyDescent="0.3">
      <c r="A115" t="s">
        <v>8</v>
      </c>
      <c r="B115" t="s">
        <v>34</v>
      </c>
      <c r="C115">
        <v>2008</v>
      </c>
      <c r="E115" t="s">
        <v>4</v>
      </c>
      <c r="F115" t="s">
        <v>5</v>
      </c>
      <c r="G115" t="s">
        <v>56</v>
      </c>
      <c r="H115" t="s">
        <v>45</v>
      </c>
      <c r="I115">
        <v>143</v>
      </c>
      <c r="J115" s="2" t="s">
        <v>49</v>
      </c>
      <c r="K115" s="2">
        <v>9</v>
      </c>
      <c r="L115" s="2"/>
      <c r="N115" s="7">
        <f t="shared" si="4"/>
        <v>9</v>
      </c>
      <c r="O115" s="7">
        <v>0.4</v>
      </c>
      <c r="P115" t="s">
        <v>52</v>
      </c>
      <c r="Q115" t="s">
        <v>32</v>
      </c>
    </row>
    <row r="116" spans="1:20" x14ac:dyDescent="0.3">
      <c r="A116" t="s">
        <v>8</v>
      </c>
      <c r="B116" t="s">
        <v>34</v>
      </c>
      <c r="C116">
        <v>2008</v>
      </c>
      <c r="E116" t="s">
        <v>4</v>
      </c>
      <c r="F116" t="s">
        <v>5</v>
      </c>
      <c r="G116" t="s">
        <v>56</v>
      </c>
      <c r="H116" t="s">
        <v>50</v>
      </c>
      <c r="I116">
        <v>113</v>
      </c>
      <c r="J116" s="2">
        <v>0</v>
      </c>
      <c r="K116" s="2">
        <v>6</v>
      </c>
      <c r="L116" s="2"/>
      <c r="N116" s="7">
        <f t="shared" si="4"/>
        <v>6</v>
      </c>
      <c r="O116" s="7">
        <v>0</v>
      </c>
      <c r="P116" t="s">
        <v>52</v>
      </c>
      <c r="Q116" t="s">
        <v>32</v>
      </c>
    </row>
    <row r="117" spans="1:20" x14ac:dyDescent="0.3">
      <c r="A117" t="s">
        <v>8</v>
      </c>
      <c r="B117" t="s">
        <v>34</v>
      </c>
      <c r="C117">
        <v>2008</v>
      </c>
      <c r="E117" t="s">
        <v>4</v>
      </c>
      <c r="F117" t="s">
        <v>5</v>
      </c>
      <c r="G117" t="s">
        <v>56</v>
      </c>
      <c r="H117" t="s">
        <v>50</v>
      </c>
      <c r="I117">
        <v>113</v>
      </c>
      <c r="J117" s="2" t="s">
        <v>35</v>
      </c>
      <c r="K117" s="2">
        <v>32</v>
      </c>
      <c r="L117" s="2"/>
      <c r="N117" s="7">
        <f t="shared" si="4"/>
        <v>32</v>
      </c>
      <c r="O117" s="7">
        <v>2.5000000000000001E-3</v>
      </c>
      <c r="P117" t="s">
        <v>52</v>
      </c>
      <c r="Q117" t="s">
        <v>32</v>
      </c>
    </row>
    <row r="118" spans="1:20" x14ac:dyDescent="0.3">
      <c r="A118" t="s">
        <v>8</v>
      </c>
      <c r="B118" t="s">
        <v>34</v>
      </c>
      <c r="C118">
        <v>2008</v>
      </c>
      <c r="E118" t="s">
        <v>4</v>
      </c>
      <c r="F118" t="s">
        <v>5</v>
      </c>
      <c r="G118" t="s">
        <v>56</v>
      </c>
      <c r="H118" t="s">
        <v>50</v>
      </c>
      <c r="I118">
        <v>113</v>
      </c>
      <c r="J118" s="2" t="s">
        <v>36</v>
      </c>
      <c r="K118" s="2">
        <v>23</v>
      </c>
      <c r="L118" s="2"/>
      <c r="N118" s="7">
        <f t="shared" si="4"/>
        <v>23</v>
      </c>
      <c r="O118" s="7">
        <v>7.4999999999999997E-3</v>
      </c>
      <c r="P118" t="s">
        <v>52</v>
      </c>
      <c r="Q118" t="s">
        <v>32</v>
      </c>
    </row>
    <row r="119" spans="1:20" x14ac:dyDescent="0.3">
      <c r="A119" t="s">
        <v>8</v>
      </c>
      <c r="B119" t="s">
        <v>34</v>
      </c>
      <c r="C119">
        <v>2008</v>
      </c>
      <c r="E119" t="s">
        <v>4</v>
      </c>
      <c r="F119" t="s">
        <v>5</v>
      </c>
      <c r="G119" t="s">
        <v>56</v>
      </c>
      <c r="H119" t="s">
        <v>50</v>
      </c>
      <c r="I119">
        <v>113</v>
      </c>
      <c r="J119" s="2" t="s">
        <v>37</v>
      </c>
      <c r="K119" s="2">
        <v>30</v>
      </c>
      <c r="L119" s="2"/>
      <c r="N119" s="7">
        <f t="shared" si="4"/>
        <v>30</v>
      </c>
      <c r="O119" s="7">
        <v>0.02</v>
      </c>
      <c r="P119" t="s">
        <v>52</v>
      </c>
      <c r="Q119" t="s">
        <v>32</v>
      </c>
    </row>
    <row r="120" spans="1:20" x14ac:dyDescent="0.3">
      <c r="A120" t="s">
        <v>8</v>
      </c>
      <c r="B120" t="s">
        <v>34</v>
      </c>
      <c r="C120">
        <v>2008</v>
      </c>
      <c r="E120" t="s">
        <v>4</v>
      </c>
      <c r="F120" t="s">
        <v>5</v>
      </c>
      <c r="G120" t="s">
        <v>56</v>
      </c>
      <c r="H120" t="s">
        <v>50</v>
      </c>
      <c r="I120">
        <v>113</v>
      </c>
      <c r="J120" s="2" t="s">
        <v>38</v>
      </c>
      <c r="K120" s="2">
        <v>11</v>
      </c>
      <c r="L120" s="2"/>
      <c r="N120" s="7">
        <f t="shared" si="4"/>
        <v>11</v>
      </c>
      <c r="O120" s="7">
        <v>4.4999999999999998E-2</v>
      </c>
      <c r="P120" t="s">
        <v>52</v>
      </c>
      <c r="Q120" t="s">
        <v>32</v>
      </c>
    </row>
    <row r="121" spans="1:20" x14ac:dyDescent="0.3">
      <c r="A121" t="s">
        <v>8</v>
      </c>
      <c r="B121" t="s">
        <v>34</v>
      </c>
      <c r="C121">
        <v>2008</v>
      </c>
      <c r="E121" t="s">
        <v>4</v>
      </c>
      <c r="F121" t="s">
        <v>5</v>
      </c>
      <c r="G121" t="s">
        <v>56</v>
      </c>
      <c r="H121" t="s">
        <v>50</v>
      </c>
      <c r="I121">
        <v>113</v>
      </c>
      <c r="J121" s="2" t="s">
        <v>39</v>
      </c>
      <c r="K121" s="2">
        <v>7</v>
      </c>
      <c r="L121" s="2"/>
      <c r="N121" s="7">
        <f t="shared" si="4"/>
        <v>7</v>
      </c>
      <c r="O121" s="7">
        <v>0.08</v>
      </c>
      <c r="P121" t="s">
        <v>52</v>
      </c>
      <c r="Q121" t="s">
        <v>32</v>
      </c>
    </row>
    <row r="122" spans="1:20" x14ac:dyDescent="0.3">
      <c r="A122" t="s">
        <v>8</v>
      </c>
      <c r="B122" t="s">
        <v>34</v>
      </c>
      <c r="C122">
        <v>2008</v>
      </c>
      <c r="E122" t="s">
        <v>4</v>
      </c>
      <c r="F122" t="s">
        <v>5</v>
      </c>
      <c r="G122" t="s">
        <v>56</v>
      </c>
      <c r="H122" t="s">
        <v>50</v>
      </c>
      <c r="I122">
        <v>113</v>
      </c>
      <c r="J122" s="2" t="s">
        <v>46</v>
      </c>
      <c r="K122" s="2">
        <v>2</v>
      </c>
      <c r="L122" s="2"/>
      <c r="N122" s="7">
        <f t="shared" si="4"/>
        <v>2</v>
      </c>
      <c r="O122" s="7">
        <v>0.13</v>
      </c>
      <c r="P122" t="s">
        <v>52</v>
      </c>
      <c r="Q122" t="s">
        <v>32</v>
      </c>
    </row>
    <row r="123" spans="1:20" x14ac:dyDescent="0.3">
      <c r="A123" t="s">
        <v>8</v>
      </c>
      <c r="B123" t="s">
        <v>34</v>
      </c>
      <c r="C123">
        <v>2008</v>
      </c>
      <c r="E123" t="s">
        <v>4</v>
      </c>
      <c r="F123" t="s">
        <v>5</v>
      </c>
      <c r="G123" t="s">
        <v>56</v>
      </c>
      <c r="H123" t="s">
        <v>50</v>
      </c>
      <c r="I123">
        <v>113</v>
      </c>
      <c r="J123" s="2" t="s">
        <v>47</v>
      </c>
      <c r="K123" s="2">
        <v>1</v>
      </c>
      <c r="L123" s="2"/>
      <c r="N123" s="7">
        <f t="shared" si="4"/>
        <v>1</v>
      </c>
      <c r="O123" s="7">
        <v>0.18</v>
      </c>
      <c r="P123" t="s">
        <v>52</v>
      </c>
      <c r="Q123" t="s">
        <v>32</v>
      </c>
    </row>
    <row r="124" spans="1:20" x14ac:dyDescent="0.3">
      <c r="A124" t="s">
        <v>8</v>
      </c>
      <c r="B124" t="s">
        <v>34</v>
      </c>
      <c r="C124">
        <v>2009</v>
      </c>
      <c r="E124" t="s">
        <v>4</v>
      </c>
      <c r="F124" t="s">
        <v>5</v>
      </c>
      <c r="G124" t="s">
        <v>56</v>
      </c>
      <c r="H124" t="s">
        <v>50</v>
      </c>
      <c r="I124">
        <v>114</v>
      </c>
      <c r="J124" s="2" t="s">
        <v>48</v>
      </c>
      <c r="K124" s="2">
        <v>0</v>
      </c>
      <c r="L124" s="2"/>
      <c r="N124" s="7">
        <f t="shared" si="4"/>
        <v>0</v>
      </c>
      <c r="O124" s="7">
        <v>0.23</v>
      </c>
      <c r="P124" t="s">
        <v>52</v>
      </c>
      <c r="Q124" t="s">
        <v>32</v>
      </c>
    </row>
    <row r="125" spans="1:20" x14ac:dyDescent="0.3">
      <c r="A125" t="s">
        <v>8</v>
      </c>
      <c r="B125" t="s">
        <v>34</v>
      </c>
      <c r="C125">
        <v>2008</v>
      </c>
      <c r="E125" t="s">
        <v>4</v>
      </c>
      <c r="F125" t="s">
        <v>5</v>
      </c>
      <c r="G125" t="s">
        <v>56</v>
      </c>
      <c r="H125" t="s">
        <v>50</v>
      </c>
      <c r="I125">
        <v>113</v>
      </c>
      <c r="J125" s="2" t="s">
        <v>49</v>
      </c>
      <c r="K125" s="2">
        <v>1</v>
      </c>
      <c r="L125" s="2"/>
      <c r="N125" s="7">
        <f t="shared" si="4"/>
        <v>1</v>
      </c>
      <c r="O125" s="7">
        <v>0.4</v>
      </c>
      <c r="P125" t="s">
        <v>52</v>
      </c>
      <c r="Q125" t="s">
        <v>32</v>
      </c>
    </row>
    <row r="126" spans="1:20" s="3" customFormat="1" x14ac:dyDescent="0.3">
      <c r="A126" s="3" t="s">
        <v>9</v>
      </c>
      <c r="B126" s="3" t="s">
        <v>34</v>
      </c>
      <c r="C126" s="3">
        <v>2008</v>
      </c>
      <c r="E126" s="3" t="s">
        <v>4</v>
      </c>
      <c r="F126" s="3" t="s">
        <v>5</v>
      </c>
      <c r="G126" s="3" t="s">
        <v>57</v>
      </c>
      <c r="H126" s="3" t="s">
        <v>41</v>
      </c>
      <c r="I126" s="3">
        <v>174</v>
      </c>
      <c r="J126" s="4">
        <v>0</v>
      </c>
      <c r="K126" s="4">
        <v>1</v>
      </c>
      <c r="L126" s="4"/>
      <c r="N126" s="3">
        <f>K126</f>
        <v>1</v>
      </c>
      <c r="O126" s="3">
        <v>0</v>
      </c>
      <c r="P126" s="3" t="s">
        <v>52</v>
      </c>
      <c r="Q126" s="3" t="s">
        <v>32</v>
      </c>
      <c r="R126" s="3" t="s">
        <v>51</v>
      </c>
      <c r="T126" s="3" t="s">
        <v>163</v>
      </c>
    </row>
    <row r="127" spans="1:20" s="3" customFormat="1" x14ac:dyDescent="0.3">
      <c r="A127" s="3" t="s">
        <v>9</v>
      </c>
      <c r="B127" s="3" t="s">
        <v>34</v>
      </c>
      <c r="C127" s="3">
        <v>2008</v>
      </c>
      <c r="E127" s="3" t="s">
        <v>4</v>
      </c>
      <c r="F127" s="3" t="s">
        <v>5</v>
      </c>
      <c r="G127" s="3" t="s">
        <v>57</v>
      </c>
      <c r="H127" s="3" t="s">
        <v>41</v>
      </c>
      <c r="I127" s="3">
        <v>174</v>
      </c>
      <c r="J127" s="3" t="s">
        <v>35</v>
      </c>
      <c r="K127" s="4">
        <v>41</v>
      </c>
      <c r="N127" s="3">
        <f t="shared" ref="N127:N165" si="5">K127</f>
        <v>41</v>
      </c>
      <c r="O127" s="3">
        <v>2.5000000000000001E-3</v>
      </c>
      <c r="P127" s="3" t="s">
        <v>52</v>
      </c>
      <c r="Q127" s="3" t="s">
        <v>32</v>
      </c>
    </row>
    <row r="128" spans="1:20" s="3" customFormat="1" x14ac:dyDescent="0.3">
      <c r="A128" s="3" t="s">
        <v>9</v>
      </c>
      <c r="B128" s="3" t="s">
        <v>34</v>
      </c>
      <c r="C128" s="3">
        <v>2008</v>
      </c>
      <c r="E128" s="3" t="s">
        <v>4</v>
      </c>
      <c r="F128" s="3" t="s">
        <v>5</v>
      </c>
      <c r="G128" s="3" t="s">
        <v>57</v>
      </c>
      <c r="H128" s="3" t="s">
        <v>41</v>
      </c>
      <c r="I128" s="3">
        <v>174</v>
      </c>
      <c r="J128" s="3" t="s">
        <v>36</v>
      </c>
      <c r="K128" s="4">
        <v>46</v>
      </c>
      <c r="N128" s="3">
        <f t="shared" si="5"/>
        <v>46</v>
      </c>
      <c r="O128" s="3">
        <v>7.4999999999999997E-3</v>
      </c>
      <c r="P128" s="3" t="s">
        <v>52</v>
      </c>
      <c r="Q128" s="3" t="s">
        <v>32</v>
      </c>
    </row>
    <row r="129" spans="1:17" s="3" customFormat="1" x14ac:dyDescent="0.3">
      <c r="A129" s="3" t="s">
        <v>9</v>
      </c>
      <c r="B129" s="3" t="s">
        <v>34</v>
      </c>
      <c r="C129" s="3">
        <v>2008</v>
      </c>
      <c r="E129" s="3" t="s">
        <v>4</v>
      </c>
      <c r="F129" s="3" t="s">
        <v>5</v>
      </c>
      <c r="G129" s="3" t="s">
        <v>57</v>
      </c>
      <c r="H129" s="3" t="s">
        <v>41</v>
      </c>
      <c r="I129" s="3">
        <v>174</v>
      </c>
      <c r="J129" s="5" t="s">
        <v>37</v>
      </c>
      <c r="K129" s="4">
        <v>51</v>
      </c>
      <c r="L129" s="5"/>
      <c r="N129" s="3">
        <f t="shared" si="5"/>
        <v>51</v>
      </c>
      <c r="O129" s="3">
        <v>0.02</v>
      </c>
      <c r="P129" s="3" t="s">
        <v>52</v>
      </c>
      <c r="Q129" s="3" t="s">
        <v>32</v>
      </c>
    </row>
    <row r="130" spans="1:17" s="3" customFormat="1" x14ac:dyDescent="0.3">
      <c r="A130" s="3" t="s">
        <v>9</v>
      </c>
      <c r="B130" s="3" t="s">
        <v>34</v>
      </c>
      <c r="C130" s="3">
        <v>2008</v>
      </c>
      <c r="E130" s="3" t="s">
        <v>4</v>
      </c>
      <c r="F130" s="3" t="s">
        <v>5</v>
      </c>
      <c r="G130" s="3" t="s">
        <v>57</v>
      </c>
      <c r="H130" s="3" t="s">
        <v>41</v>
      </c>
      <c r="I130" s="3">
        <v>174</v>
      </c>
      <c r="J130" s="3" t="s">
        <v>38</v>
      </c>
      <c r="K130" s="4">
        <v>28</v>
      </c>
      <c r="N130" s="3">
        <f t="shared" si="5"/>
        <v>28</v>
      </c>
      <c r="O130" s="3">
        <v>4.4999999999999998E-2</v>
      </c>
      <c r="P130" s="3" t="s">
        <v>52</v>
      </c>
      <c r="Q130" s="3" t="s">
        <v>32</v>
      </c>
    </row>
    <row r="131" spans="1:17" s="3" customFormat="1" x14ac:dyDescent="0.3">
      <c r="A131" s="3" t="s">
        <v>9</v>
      </c>
      <c r="B131" s="3" t="s">
        <v>34</v>
      </c>
      <c r="C131" s="3">
        <v>2008</v>
      </c>
      <c r="E131" s="3" t="s">
        <v>4</v>
      </c>
      <c r="F131" s="3" t="s">
        <v>5</v>
      </c>
      <c r="G131" s="3" t="s">
        <v>57</v>
      </c>
      <c r="H131" s="3" t="s">
        <v>41</v>
      </c>
      <c r="I131" s="3">
        <v>174</v>
      </c>
      <c r="J131" s="3" t="s">
        <v>39</v>
      </c>
      <c r="K131" s="4">
        <v>4</v>
      </c>
      <c r="N131" s="3">
        <f t="shared" si="5"/>
        <v>4</v>
      </c>
      <c r="O131" s="3">
        <v>0.08</v>
      </c>
      <c r="P131" s="3" t="s">
        <v>52</v>
      </c>
      <c r="Q131" s="3" t="s">
        <v>32</v>
      </c>
    </row>
    <row r="132" spans="1:17" s="3" customFormat="1" x14ac:dyDescent="0.3">
      <c r="A132" s="3" t="s">
        <v>9</v>
      </c>
      <c r="B132" s="3" t="s">
        <v>34</v>
      </c>
      <c r="C132" s="3">
        <v>2008</v>
      </c>
      <c r="E132" s="3" t="s">
        <v>4</v>
      </c>
      <c r="F132" s="3" t="s">
        <v>5</v>
      </c>
      <c r="G132" s="3" t="s">
        <v>57</v>
      </c>
      <c r="H132" s="3" t="s">
        <v>41</v>
      </c>
      <c r="I132" s="3">
        <v>174</v>
      </c>
      <c r="J132" s="3" t="s">
        <v>46</v>
      </c>
      <c r="K132" s="4">
        <v>1</v>
      </c>
      <c r="N132" s="3">
        <f t="shared" si="5"/>
        <v>1</v>
      </c>
      <c r="O132" s="3">
        <v>0.13</v>
      </c>
      <c r="P132" s="3" t="s">
        <v>52</v>
      </c>
      <c r="Q132" s="3" t="s">
        <v>32</v>
      </c>
    </row>
    <row r="133" spans="1:17" s="3" customFormat="1" x14ac:dyDescent="0.3">
      <c r="A133" s="3" t="s">
        <v>9</v>
      </c>
      <c r="B133" s="3" t="s">
        <v>34</v>
      </c>
      <c r="C133" s="3">
        <v>2008</v>
      </c>
      <c r="E133" s="3" t="s">
        <v>4</v>
      </c>
      <c r="F133" s="3" t="s">
        <v>5</v>
      </c>
      <c r="G133" s="3" t="s">
        <v>57</v>
      </c>
      <c r="H133" s="3" t="s">
        <v>41</v>
      </c>
      <c r="I133" s="3">
        <v>174</v>
      </c>
      <c r="J133" s="3" t="s">
        <v>47</v>
      </c>
      <c r="K133" s="4">
        <v>1</v>
      </c>
      <c r="N133" s="3">
        <f t="shared" si="5"/>
        <v>1</v>
      </c>
      <c r="O133" s="3">
        <v>0.18</v>
      </c>
      <c r="P133" s="3" t="s">
        <v>52</v>
      </c>
      <c r="Q133" s="3" t="s">
        <v>32</v>
      </c>
    </row>
    <row r="134" spans="1:17" s="3" customFormat="1" x14ac:dyDescent="0.3">
      <c r="A134" s="3" t="s">
        <v>9</v>
      </c>
      <c r="B134" s="3" t="s">
        <v>34</v>
      </c>
      <c r="C134" s="3">
        <v>2008</v>
      </c>
      <c r="E134" s="3" t="s">
        <v>4</v>
      </c>
      <c r="F134" s="3" t="s">
        <v>5</v>
      </c>
      <c r="G134" s="3" t="s">
        <v>57</v>
      </c>
      <c r="H134" s="3" t="s">
        <v>41</v>
      </c>
      <c r="I134" s="3">
        <v>174</v>
      </c>
      <c r="J134" s="3" t="s">
        <v>48</v>
      </c>
      <c r="K134" s="4">
        <v>0</v>
      </c>
      <c r="N134" s="3">
        <f t="shared" si="5"/>
        <v>0</v>
      </c>
      <c r="O134" s="3">
        <v>0.23</v>
      </c>
      <c r="P134" s="3" t="s">
        <v>52</v>
      </c>
      <c r="Q134" s="3" t="s">
        <v>32</v>
      </c>
    </row>
    <row r="135" spans="1:17" s="3" customFormat="1" x14ac:dyDescent="0.3">
      <c r="A135" s="3" t="s">
        <v>9</v>
      </c>
      <c r="B135" s="3" t="s">
        <v>34</v>
      </c>
      <c r="C135" s="3">
        <v>2008</v>
      </c>
      <c r="E135" s="3" t="s">
        <v>4</v>
      </c>
      <c r="F135" s="3" t="s">
        <v>5</v>
      </c>
      <c r="G135" s="3" t="s">
        <v>57</v>
      </c>
      <c r="H135" s="3" t="s">
        <v>41</v>
      </c>
      <c r="I135" s="3">
        <v>174</v>
      </c>
      <c r="J135" s="3" t="s">
        <v>49</v>
      </c>
      <c r="K135" s="4">
        <v>1</v>
      </c>
      <c r="N135" s="3">
        <f t="shared" si="5"/>
        <v>1</v>
      </c>
      <c r="O135" s="3">
        <v>0.4</v>
      </c>
      <c r="P135" s="3" t="s">
        <v>52</v>
      </c>
      <c r="Q135" s="3" t="s">
        <v>32</v>
      </c>
    </row>
    <row r="136" spans="1:17" s="3" customFormat="1" x14ac:dyDescent="0.3">
      <c r="A136" s="3" t="s">
        <v>9</v>
      </c>
      <c r="B136" s="3" t="s">
        <v>34</v>
      </c>
      <c r="C136" s="3">
        <v>2008</v>
      </c>
      <c r="E136" s="3" t="s">
        <v>4</v>
      </c>
      <c r="F136" s="3" t="s">
        <v>5</v>
      </c>
      <c r="G136" s="3" t="s">
        <v>57</v>
      </c>
      <c r="H136" s="3" t="s">
        <v>44</v>
      </c>
      <c r="I136" s="3">
        <v>22</v>
      </c>
      <c r="J136" s="3">
        <v>0</v>
      </c>
      <c r="K136" s="4">
        <v>1</v>
      </c>
      <c r="N136" s="3">
        <f t="shared" si="5"/>
        <v>1</v>
      </c>
      <c r="O136" s="3">
        <v>0</v>
      </c>
      <c r="P136" s="3" t="s">
        <v>52</v>
      </c>
      <c r="Q136" s="3" t="s">
        <v>32</v>
      </c>
    </row>
    <row r="137" spans="1:17" s="3" customFormat="1" x14ac:dyDescent="0.3">
      <c r="A137" s="3" t="s">
        <v>9</v>
      </c>
      <c r="B137" s="3" t="s">
        <v>34</v>
      </c>
      <c r="C137" s="3">
        <v>2008</v>
      </c>
      <c r="E137" s="3" t="s">
        <v>4</v>
      </c>
      <c r="F137" s="3" t="s">
        <v>5</v>
      </c>
      <c r="G137" s="3" t="s">
        <v>57</v>
      </c>
      <c r="H137" s="3" t="s">
        <v>44</v>
      </c>
      <c r="I137" s="3">
        <v>22</v>
      </c>
      <c r="J137" s="4" t="s">
        <v>35</v>
      </c>
      <c r="K137" s="4">
        <v>10</v>
      </c>
      <c r="L137" s="4"/>
      <c r="N137" s="3">
        <f t="shared" si="5"/>
        <v>10</v>
      </c>
      <c r="O137" s="3">
        <v>2.5000000000000001E-3</v>
      </c>
      <c r="P137" s="3" t="s">
        <v>52</v>
      </c>
      <c r="Q137" s="3" t="s">
        <v>32</v>
      </c>
    </row>
    <row r="138" spans="1:17" s="3" customFormat="1" x14ac:dyDescent="0.3">
      <c r="A138" s="3" t="s">
        <v>9</v>
      </c>
      <c r="B138" s="3" t="s">
        <v>34</v>
      </c>
      <c r="C138" s="3">
        <v>2008</v>
      </c>
      <c r="E138" s="3" t="s">
        <v>4</v>
      </c>
      <c r="F138" s="3" t="s">
        <v>5</v>
      </c>
      <c r="G138" s="3" t="s">
        <v>57</v>
      </c>
      <c r="H138" s="3" t="s">
        <v>44</v>
      </c>
      <c r="I138" s="3">
        <v>22</v>
      </c>
      <c r="J138" s="4" t="s">
        <v>36</v>
      </c>
      <c r="K138" s="4">
        <v>3</v>
      </c>
      <c r="L138" s="4"/>
      <c r="N138" s="3">
        <f t="shared" si="5"/>
        <v>3</v>
      </c>
      <c r="O138" s="3">
        <v>7.4999999999999997E-3</v>
      </c>
      <c r="P138" s="3" t="s">
        <v>52</v>
      </c>
      <c r="Q138" s="3" t="s">
        <v>32</v>
      </c>
    </row>
    <row r="139" spans="1:17" s="3" customFormat="1" x14ac:dyDescent="0.3">
      <c r="A139" s="3" t="s">
        <v>9</v>
      </c>
      <c r="B139" s="3" t="s">
        <v>34</v>
      </c>
      <c r="C139" s="3">
        <v>2008</v>
      </c>
      <c r="E139" s="3" t="s">
        <v>4</v>
      </c>
      <c r="F139" s="3" t="s">
        <v>5</v>
      </c>
      <c r="G139" s="3" t="s">
        <v>57</v>
      </c>
      <c r="H139" s="3" t="s">
        <v>44</v>
      </c>
      <c r="I139" s="3">
        <v>22</v>
      </c>
      <c r="J139" s="4" t="s">
        <v>37</v>
      </c>
      <c r="K139" s="4">
        <v>5</v>
      </c>
      <c r="L139" s="4"/>
      <c r="N139" s="3">
        <f t="shared" si="5"/>
        <v>5</v>
      </c>
      <c r="O139" s="3">
        <v>0.02</v>
      </c>
      <c r="P139" s="3" t="s">
        <v>52</v>
      </c>
      <c r="Q139" s="3" t="s">
        <v>32</v>
      </c>
    </row>
    <row r="140" spans="1:17" s="3" customFormat="1" x14ac:dyDescent="0.3">
      <c r="A140" s="3" t="s">
        <v>9</v>
      </c>
      <c r="B140" s="3" t="s">
        <v>34</v>
      </c>
      <c r="C140" s="3">
        <v>2008</v>
      </c>
      <c r="E140" s="3" t="s">
        <v>4</v>
      </c>
      <c r="F140" s="3" t="s">
        <v>5</v>
      </c>
      <c r="G140" s="3" t="s">
        <v>57</v>
      </c>
      <c r="H140" s="3" t="s">
        <v>44</v>
      </c>
      <c r="I140" s="3">
        <v>22</v>
      </c>
      <c r="J140" s="4" t="s">
        <v>38</v>
      </c>
      <c r="K140" s="4">
        <v>0</v>
      </c>
      <c r="L140" s="4"/>
      <c r="N140" s="3">
        <f t="shared" si="5"/>
        <v>0</v>
      </c>
      <c r="O140" s="3">
        <v>4.4999999999999998E-2</v>
      </c>
      <c r="P140" s="3" t="s">
        <v>52</v>
      </c>
      <c r="Q140" s="3" t="s">
        <v>32</v>
      </c>
    </row>
    <row r="141" spans="1:17" s="3" customFormat="1" x14ac:dyDescent="0.3">
      <c r="A141" s="3" t="s">
        <v>9</v>
      </c>
      <c r="B141" s="3" t="s">
        <v>34</v>
      </c>
      <c r="C141" s="3">
        <v>2008</v>
      </c>
      <c r="E141" s="3" t="s">
        <v>4</v>
      </c>
      <c r="F141" s="3" t="s">
        <v>5</v>
      </c>
      <c r="G141" s="3" t="s">
        <v>57</v>
      </c>
      <c r="H141" s="3" t="s">
        <v>44</v>
      </c>
      <c r="I141" s="3">
        <v>22</v>
      </c>
      <c r="J141" s="4" t="s">
        <v>39</v>
      </c>
      <c r="K141" s="4">
        <v>3</v>
      </c>
      <c r="L141" s="4"/>
      <c r="N141" s="3">
        <f t="shared" si="5"/>
        <v>3</v>
      </c>
      <c r="O141" s="3">
        <v>0.08</v>
      </c>
      <c r="P141" s="3" t="s">
        <v>52</v>
      </c>
      <c r="Q141" s="3" t="s">
        <v>32</v>
      </c>
    </row>
    <row r="142" spans="1:17" s="3" customFormat="1" x14ac:dyDescent="0.3">
      <c r="A142" s="3" t="s">
        <v>9</v>
      </c>
      <c r="B142" s="3" t="s">
        <v>34</v>
      </c>
      <c r="C142" s="3">
        <v>2008</v>
      </c>
      <c r="E142" s="3" t="s">
        <v>4</v>
      </c>
      <c r="F142" s="3" t="s">
        <v>5</v>
      </c>
      <c r="G142" s="3" t="s">
        <v>57</v>
      </c>
      <c r="H142" s="3" t="s">
        <v>44</v>
      </c>
      <c r="I142" s="3">
        <v>22</v>
      </c>
      <c r="J142" s="4" t="s">
        <v>46</v>
      </c>
      <c r="K142" s="4">
        <v>0</v>
      </c>
      <c r="L142" s="4"/>
      <c r="N142" s="3">
        <f t="shared" si="5"/>
        <v>0</v>
      </c>
      <c r="O142" s="3">
        <v>0.13</v>
      </c>
      <c r="P142" s="3" t="s">
        <v>52</v>
      </c>
      <c r="Q142" s="3" t="s">
        <v>32</v>
      </c>
    </row>
    <row r="143" spans="1:17" s="3" customFormat="1" x14ac:dyDescent="0.3">
      <c r="A143" s="3" t="s">
        <v>9</v>
      </c>
      <c r="B143" s="3" t="s">
        <v>34</v>
      </c>
      <c r="C143" s="3">
        <v>2008</v>
      </c>
      <c r="E143" s="3" t="s">
        <v>4</v>
      </c>
      <c r="F143" s="3" t="s">
        <v>5</v>
      </c>
      <c r="G143" s="3" t="s">
        <v>57</v>
      </c>
      <c r="H143" s="3" t="s">
        <v>44</v>
      </c>
      <c r="I143" s="3">
        <v>22</v>
      </c>
      <c r="J143" s="4" t="s">
        <v>47</v>
      </c>
      <c r="K143" s="4">
        <v>0</v>
      </c>
      <c r="L143" s="4"/>
      <c r="N143" s="3">
        <f t="shared" si="5"/>
        <v>0</v>
      </c>
      <c r="O143" s="3">
        <v>0.18</v>
      </c>
      <c r="P143" s="3" t="s">
        <v>52</v>
      </c>
      <c r="Q143" s="3" t="s">
        <v>32</v>
      </c>
    </row>
    <row r="144" spans="1:17" s="3" customFormat="1" x14ac:dyDescent="0.3">
      <c r="A144" s="3" t="s">
        <v>9</v>
      </c>
      <c r="B144" s="3" t="s">
        <v>34</v>
      </c>
      <c r="C144" s="3">
        <v>2008</v>
      </c>
      <c r="E144" s="3" t="s">
        <v>4</v>
      </c>
      <c r="F144" s="3" t="s">
        <v>5</v>
      </c>
      <c r="G144" s="3" t="s">
        <v>57</v>
      </c>
      <c r="H144" s="3" t="s">
        <v>44</v>
      </c>
      <c r="I144" s="3">
        <v>22</v>
      </c>
      <c r="J144" s="4" t="s">
        <v>48</v>
      </c>
      <c r="K144" s="4">
        <v>0</v>
      </c>
      <c r="L144" s="4"/>
      <c r="N144" s="3">
        <f t="shared" si="5"/>
        <v>0</v>
      </c>
      <c r="O144" s="3">
        <v>0.23</v>
      </c>
      <c r="P144" s="3" t="s">
        <v>52</v>
      </c>
      <c r="Q144" s="3" t="s">
        <v>32</v>
      </c>
    </row>
    <row r="145" spans="1:17" s="3" customFormat="1" x14ac:dyDescent="0.3">
      <c r="A145" s="3" t="s">
        <v>9</v>
      </c>
      <c r="B145" s="3" t="s">
        <v>34</v>
      </c>
      <c r="C145" s="3">
        <v>2008</v>
      </c>
      <c r="E145" s="3" t="s">
        <v>4</v>
      </c>
      <c r="F145" s="3" t="s">
        <v>5</v>
      </c>
      <c r="G145" s="3" t="s">
        <v>57</v>
      </c>
      <c r="H145" s="3" t="s">
        <v>44</v>
      </c>
      <c r="I145" s="3">
        <v>22</v>
      </c>
      <c r="J145" s="4" t="s">
        <v>49</v>
      </c>
      <c r="K145" s="4">
        <v>0</v>
      </c>
      <c r="L145" s="4"/>
      <c r="N145" s="3">
        <f t="shared" si="5"/>
        <v>0</v>
      </c>
      <c r="O145" s="3">
        <v>0.4</v>
      </c>
      <c r="P145" s="3" t="s">
        <v>52</v>
      </c>
      <c r="Q145" s="3" t="s">
        <v>32</v>
      </c>
    </row>
    <row r="146" spans="1:17" s="3" customFormat="1" x14ac:dyDescent="0.3">
      <c r="A146" s="3" t="s">
        <v>9</v>
      </c>
      <c r="B146" s="3" t="s">
        <v>34</v>
      </c>
      <c r="C146" s="3">
        <v>2008</v>
      </c>
      <c r="E146" s="3" t="s">
        <v>4</v>
      </c>
      <c r="F146" s="3" t="s">
        <v>5</v>
      </c>
      <c r="G146" s="3" t="s">
        <v>57</v>
      </c>
      <c r="H146" s="3" t="s">
        <v>45</v>
      </c>
      <c r="I146" s="3">
        <v>145</v>
      </c>
      <c r="J146" s="4">
        <v>0</v>
      </c>
      <c r="K146" s="4">
        <v>0</v>
      </c>
      <c r="L146" s="4"/>
      <c r="N146" s="3">
        <f t="shared" si="5"/>
        <v>0</v>
      </c>
      <c r="O146" s="3">
        <v>0</v>
      </c>
      <c r="P146" s="3" t="s">
        <v>52</v>
      </c>
      <c r="Q146" s="3" t="s">
        <v>32</v>
      </c>
    </row>
    <row r="147" spans="1:17" s="3" customFormat="1" x14ac:dyDescent="0.3">
      <c r="A147" s="3" t="s">
        <v>9</v>
      </c>
      <c r="B147" s="3" t="s">
        <v>34</v>
      </c>
      <c r="C147" s="3">
        <v>2008</v>
      </c>
      <c r="E147" s="3" t="s">
        <v>4</v>
      </c>
      <c r="F147" s="3" t="s">
        <v>5</v>
      </c>
      <c r="G147" s="3" t="s">
        <v>57</v>
      </c>
      <c r="H147" s="3" t="s">
        <v>45</v>
      </c>
      <c r="I147" s="3">
        <v>145</v>
      </c>
      <c r="J147" s="4" t="s">
        <v>35</v>
      </c>
      <c r="K147" s="4">
        <v>2</v>
      </c>
      <c r="L147" s="4"/>
      <c r="N147" s="3">
        <f t="shared" si="5"/>
        <v>2</v>
      </c>
      <c r="O147" s="3">
        <v>2.5000000000000001E-3</v>
      </c>
      <c r="P147" s="3" t="s">
        <v>52</v>
      </c>
      <c r="Q147" s="3" t="s">
        <v>32</v>
      </c>
    </row>
    <row r="148" spans="1:17" s="3" customFormat="1" x14ac:dyDescent="0.3">
      <c r="A148" s="3" t="s">
        <v>9</v>
      </c>
      <c r="B148" s="3" t="s">
        <v>34</v>
      </c>
      <c r="C148" s="3">
        <v>2008</v>
      </c>
      <c r="E148" s="3" t="s">
        <v>4</v>
      </c>
      <c r="F148" s="3" t="s">
        <v>5</v>
      </c>
      <c r="G148" s="3" t="s">
        <v>57</v>
      </c>
      <c r="H148" s="3" t="s">
        <v>45</v>
      </c>
      <c r="I148" s="3">
        <v>145</v>
      </c>
      <c r="J148" s="4" t="s">
        <v>36</v>
      </c>
      <c r="K148" s="4">
        <v>5</v>
      </c>
      <c r="L148" s="4"/>
      <c r="N148" s="3">
        <f t="shared" si="5"/>
        <v>5</v>
      </c>
      <c r="O148" s="3">
        <v>7.4999999999999997E-3</v>
      </c>
      <c r="P148" s="3" t="s">
        <v>52</v>
      </c>
      <c r="Q148" s="3" t="s">
        <v>32</v>
      </c>
    </row>
    <row r="149" spans="1:17" s="3" customFormat="1" x14ac:dyDescent="0.3">
      <c r="A149" s="3" t="s">
        <v>9</v>
      </c>
      <c r="B149" s="3" t="s">
        <v>34</v>
      </c>
      <c r="C149" s="3">
        <v>2008</v>
      </c>
      <c r="E149" s="3" t="s">
        <v>4</v>
      </c>
      <c r="F149" s="3" t="s">
        <v>5</v>
      </c>
      <c r="G149" s="3" t="s">
        <v>57</v>
      </c>
      <c r="H149" s="3" t="s">
        <v>45</v>
      </c>
      <c r="I149" s="3">
        <v>145</v>
      </c>
      <c r="J149" s="4" t="s">
        <v>37</v>
      </c>
      <c r="K149" s="4">
        <v>16</v>
      </c>
      <c r="L149" s="4"/>
      <c r="N149" s="3">
        <f t="shared" si="5"/>
        <v>16</v>
      </c>
      <c r="O149" s="3">
        <v>0.02</v>
      </c>
      <c r="P149" s="3" t="s">
        <v>52</v>
      </c>
      <c r="Q149" s="3" t="s">
        <v>32</v>
      </c>
    </row>
    <row r="150" spans="1:17" s="3" customFormat="1" x14ac:dyDescent="0.3">
      <c r="A150" s="3" t="s">
        <v>9</v>
      </c>
      <c r="B150" s="3" t="s">
        <v>34</v>
      </c>
      <c r="C150" s="3">
        <v>2008</v>
      </c>
      <c r="E150" s="3" t="s">
        <v>4</v>
      </c>
      <c r="F150" s="3" t="s">
        <v>5</v>
      </c>
      <c r="G150" s="3" t="s">
        <v>57</v>
      </c>
      <c r="H150" s="3" t="s">
        <v>45</v>
      </c>
      <c r="I150" s="3">
        <v>145</v>
      </c>
      <c r="J150" s="4" t="s">
        <v>38</v>
      </c>
      <c r="K150" s="4">
        <v>30</v>
      </c>
      <c r="L150" s="4"/>
      <c r="N150" s="3">
        <f t="shared" si="5"/>
        <v>30</v>
      </c>
      <c r="O150" s="3">
        <v>4.4999999999999998E-2</v>
      </c>
      <c r="P150" s="3" t="s">
        <v>52</v>
      </c>
      <c r="Q150" s="3" t="s">
        <v>32</v>
      </c>
    </row>
    <row r="151" spans="1:17" s="3" customFormat="1" x14ac:dyDescent="0.3">
      <c r="A151" s="3" t="s">
        <v>9</v>
      </c>
      <c r="B151" s="3" t="s">
        <v>34</v>
      </c>
      <c r="C151" s="3">
        <v>2008</v>
      </c>
      <c r="E151" s="3" t="s">
        <v>4</v>
      </c>
      <c r="F151" s="3" t="s">
        <v>5</v>
      </c>
      <c r="G151" s="3" t="s">
        <v>57</v>
      </c>
      <c r="H151" s="3" t="s">
        <v>45</v>
      </c>
      <c r="I151" s="3">
        <v>145</v>
      </c>
      <c r="J151" s="4" t="s">
        <v>39</v>
      </c>
      <c r="K151" s="4">
        <v>26</v>
      </c>
      <c r="L151" s="4"/>
      <c r="N151" s="3">
        <f t="shared" si="5"/>
        <v>26</v>
      </c>
      <c r="O151" s="3">
        <v>0.08</v>
      </c>
      <c r="P151" s="3" t="s">
        <v>52</v>
      </c>
      <c r="Q151" s="3" t="s">
        <v>32</v>
      </c>
    </row>
    <row r="152" spans="1:17" s="3" customFormat="1" x14ac:dyDescent="0.3">
      <c r="A152" s="3" t="s">
        <v>9</v>
      </c>
      <c r="B152" s="3" t="s">
        <v>34</v>
      </c>
      <c r="C152" s="3">
        <v>2008</v>
      </c>
      <c r="E152" s="3" t="s">
        <v>4</v>
      </c>
      <c r="F152" s="3" t="s">
        <v>5</v>
      </c>
      <c r="G152" s="3" t="s">
        <v>57</v>
      </c>
      <c r="H152" s="3" t="s">
        <v>45</v>
      </c>
      <c r="I152" s="3">
        <v>145</v>
      </c>
      <c r="J152" s="4" t="s">
        <v>46</v>
      </c>
      <c r="K152" s="4">
        <v>24</v>
      </c>
      <c r="L152" s="4"/>
      <c r="N152" s="3">
        <f t="shared" si="5"/>
        <v>24</v>
      </c>
      <c r="O152" s="3">
        <v>0.13</v>
      </c>
      <c r="P152" s="3" t="s">
        <v>52</v>
      </c>
      <c r="Q152" s="3" t="s">
        <v>32</v>
      </c>
    </row>
    <row r="153" spans="1:17" s="3" customFormat="1" x14ac:dyDescent="0.3">
      <c r="A153" s="3" t="s">
        <v>9</v>
      </c>
      <c r="B153" s="3" t="s">
        <v>34</v>
      </c>
      <c r="C153" s="3">
        <v>2008</v>
      </c>
      <c r="E153" s="3" t="s">
        <v>4</v>
      </c>
      <c r="F153" s="3" t="s">
        <v>5</v>
      </c>
      <c r="G153" s="3" t="s">
        <v>57</v>
      </c>
      <c r="H153" s="3" t="s">
        <v>45</v>
      </c>
      <c r="I153" s="3">
        <v>145</v>
      </c>
      <c r="J153" s="4" t="s">
        <v>47</v>
      </c>
      <c r="K153" s="4">
        <v>15</v>
      </c>
      <c r="L153" s="4"/>
      <c r="N153" s="3">
        <f t="shared" si="5"/>
        <v>15</v>
      </c>
      <c r="O153" s="3">
        <v>0.18</v>
      </c>
      <c r="P153" s="3" t="s">
        <v>52</v>
      </c>
      <c r="Q153" s="3" t="s">
        <v>32</v>
      </c>
    </row>
    <row r="154" spans="1:17" s="3" customFormat="1" x14ac:dyDescent="0.3">
      <c r="A154" s="3" t="s">
        <v>9</v>
      </c>
      <c r="B154" s="3" t="s">
        <v>34</v>
      </c>
      <c r="C154" s="3">
        <v>2008</v>
      </c>
      <c r="E154" s="3" t="s">
        <v>4</v>
      </c>
      <c r="F154" s="3" t="s">
        <v>5</v>
      </c>
      <c r="G154" s="3" t="s">
        <v>57</v>
      </c>
      <c r="H154" s="3" t="s">
        <v>45</v>
      </c>
      <c r="I154" s="3">
        <v>145</v>
      </c>
      <c r="J154" s="4" t="s">
        <v>48</v>
      </c>
      <c r="K154" s="4">
        <v>14</v>
      </c>
      <c r="L154" s="4"/>
      <c r="N154" s="3">
        <f t="shared" si="5"/>
        <v>14</v>
      </c>
      <c r="O154" s="3">
        <v>0.23</v>
      </c>
      <c r="P154" s="3" t="s">
        <v>52</v>
      </c>
      <c r="Q154" s="3" t="s">
        <v>32</v>
      </c>
    </row>
    <row r="155" spans="1:17" s="3" customFormat="1" x14ac:dyDescent="0.3">
      <c r="A155" s="3" t="s">
        <v>9</v>
      </c>
      <c r="B155" s="3" t="s">
        <v>34</v>
      </c>
      <c r="C155" s="3">
        <v>2008</v>
      </c>
      <c r="E155" s="3" t="s">
        <v>4</v>
      </c>
      <c r="F155" s="3" t="s">
        <v>5</v>
      </c>
      <c r="G155" s="3" t="s">
        <v>57</v>
      </c>
      <c r="H155" s="3" t="s">
        <v>45</v>
      </c>
      <c r="I155" s="3">
        <v>145</v>
      </c>
      <c r="J155" s="4" t="s">
        <v>49</v>
      </c>
      <c r="K155" s="4">
        <v>13</v>
      </c>
      <c r="L155" s="4"/>
      <c r="N155" s="3">
        <f t="shared" si="5"/>
        <v>13</v>
      </c>
      <c r="O155" s="3">
        <v>0.4</v>
      </c>
      <c r="P155" s="3" t="s">
        <v>52</v>
      </c>
      <c r="Q155" s="3" t="s">
        <v>32</v>
      </c>
    </row>
    <row r="156" spans="1:17" s="3" customFormat="1" x14ac:dyDescent="0.3">
      <c r="A156" s="3" t="s">
        <v>9</v>
      </c>
      <c r="B156" s="3" t="s">
        <v>34</v>
      </c>
      <c r="C156" s="3">
        <v>2008</v>
      </c>
      <c r="E156" s="3" t="s">
        <v>4</v>
      </c>
      <c r="F156" s="3" t="s">
        <v>5</v>
      </c>
      <c r="G156" s="3" t="s">
        <v>57</v>
      </c>
      <c r="H156" s="3" t="s">
        <v>50</v>
      </c>
      <c r="I156" s="3">
        <v>106</v>
      </c>
      <c r="J156" s="4">
        <v>0</v>
      </c>
      <c r="K156" s="4">
        <v>0</v>
      </c>
      <c r="L156" s="4"/>
      <c r="N156" s="3">
        <f t="shared" si="5"/>
        <v>0</v>
      </c>
      <c r="O156" s="3">
        <v>0</v>
      </c>
      <c r="P156" s="3" t="s">
        <v>52</v>
      </c>
      <c r="Q156" s="3" t="s">
        <v>32</v>
      </c>
    </row>
    <row r="157" spans="1:17" s="3" customFormat="1" x14ac:dyDescent="0.3">
      <c r="A157" s="3" t="s">
        <v>9</v>
      </c>
      <c r="B157" s="3" t="s">
        <v>34</v>
      </c>
      <c r="C157" s="3">
        <v>2008</v>
      </c>
      <c r="E157" s="3" t="s">
        <v>4</v>
      </c>
      <c r="F157" s="3" t="s">
        <v>5</v>
      </c>
      <c r="G157" s="3" t="s">
        <v>57</v>
      </c>
      <c r="H157" s="3" t="s">
        <v>50</v>
      </c>
      <c r="I157" s="3">
        <v>106</v>
      </c>
      <c r="J157" s="4" t="s">
        <v>35</v>
      </c>
      <c r="K157" s="4">
        <v>10</v>
      </c>
      <c r="L157" s="4"/>
      <c r="N157" s="3">
        <f t="shared" si="5"/>
        <v>10</v>
      </c>
      <c r="O157" s="3">
        <v>2.5000000000000001E-3</v>
      </c>
      <c r="P157" s="3" t="s">
        <v>52</v>
      </c>
      <c r="Q157" s="3" t="s">
        <v>32</v>
      </c>
    </row>
    <row r="158" spans="1:17" s="3" customFormat="1" x14ac:dyDescent="0.3">
      <c r="A158" s="3" t="s">
        <v>9</v>
      </c>
      <c r="B158" s="3" t="s">
        <v>34</v>
      </c>
      <c r="C158" s="3">
        <v>2008</v>
      </c>
      <c r="E158" s="3" t="s">
        <v>4</v>
      </c>
      <c r="F158" s="3" t="s">
        <v>5</v>
      </c>
      <c r="G158" s="3" t="s">
        <v>57</v>
      </c>
      <c r="H158" s="3" t="s">
        <v>50</v>
      </c>
      <c r="I158" s="3">
        <v>106</v>
      </c>
      <c r="J158" s="4" t="s">
        <v>36</v>
      </c>
      <c r="K158" s="4">
        <v>7</v>
      </c>
      <c r="L158" s="4"/>
      <c r="N158" s="3">
        <f t="shared" si="5"/>
        <v>7</v>
      </c>
      <c r="O158" s="3">
        <v>7.4999999999999997E-3</v>
      </c>
      <c r="P158" s="3" t="s">
        <v>52</v>
      </c>
      <c r="Q158" s="3" t="s">
        <v>32</v>
      </c>
    </row>
    <row r="159" spans="1:17" s="3" customFormat="1" x14ac:dyDescent="0.3">
      <c r="A159" s="3" t="s">
        <v>9</v>
      </c>
      <c r="B159" s="3" t="s">
        <v>34</v>
      </c>
      <c r="C159" s="3">
        <v>2008</v>
      </c>
      <c r="E159" s="3" t="s">
        <v>4</v>
      </c>
      <c r="F159" s="3" t="s">
        <v>5</v>
      </c>
      <c r="G159" s="3" t="s">
        <v>57</v>
      </c>
      <c r="H159" s="3" t="s">
        <v>50</v>
      </c>
      <c r="I159" s="3">
        <v>106</v>
      </c>
      <c r="J159" s="4" t="s">
        <v>37</v>
      </c>
      <c r="K159" s="4">
        <v>39</v>
      </c>
      <c r="L159" s="4"/>
      <c r="N159" s="3">
        <f t="shared" si="5"/>
        <v>39</v>
      </c>
      <c r="O159" s="3">
        <v>0.02</v>
      </c>
      <c r="P159" s="3" t="s">
        <v>52</v>
      </c>
      <c r="Q159" s="3" t="s">
        <v>32</v>
      </c>
    </row>
    <row r="160" spans="1:17" s="3" customFormat="1" x14ac:dyDescent="0.3">
      <c r="A160" s="3" t="s">
        <v>9</v>
      </c>
      <c r="B160" s="3" t="s">
        <v>34</v>
      </c>
      <c r="C160" s="3">
        <v>2008</v>
      </c>
      <c r="E160" s="3" t="s">
        <v>4</v>
      </c>
      <c r="F160" s="3" t="s">
        <v>5</v>
      </c>
      <c r="G160" s="3" t="s">
        <v>57</v>
      </c>
      <c r="H160" s="3" t="s">
        <v>50</v>
      </c>
      <c r="I160" s="3">
        <v>106</v>
      </c>
      <c r="J160" s="4" t="s">
        <v>38</v>
      </c>
      <c r="K160" s="4">
        <v>21</v>
      </c>
      <c r="L160" s="4"/>
      <c r="N160" s="3">
        <f t="shared" si="5"/>
        <v>21</v>
      </c>
      <c r="O160" s="3">
        <v>4.4999999999999998E-2</v>
      </c>
      <c r="P160" s="3" t="s">
        <v>52</v>
      </c>
      <c r="Q160" s="3" t="s">
        <v>32</v>
      </c>
    </row>
    <row r="161" spans="1:20" s="3" customFormat="1" x14ac:dyDescent="0.3">
      <c r="A161" s="3" t="s">
        <v>9</v>
      </c>
      <c r="B161" s="3" t="s">
        <v>34</v>
      </c>
      <c r="C161" s="3">
        <v>2008</v>
      </c>
      <c r="E161" s="3" t="s">
        <v>4</v>
      </c>
      <c r="F161" s="3" t="s">
        <v>5</v>
      </c>
      <c r="G161" s="3" t="s">
        <v>57</v>
      </c>
      <c r="H161" s="3" t="s">
        <v>50</v>
      </c>
      <c r="I161" s="3">
        <v>106</v>
      </c>
      <c r="J161" s="4" t="s">
        <v>39</v>
      </c>
      <c r="K161" s="4">
        <v>15</v>
      </c>
      <c r="L161" s="4"/>
      <c r="N161" s="3">
        <f t="shared" si="5"/>
        <v>15</v>
      </c>
      <c r="O161" s="3">
        <v>0.08</v>
      </c>
      <c r="P161" s="3" t="s">
        <v>52</v>
      </c>
      <c r="Q161" s="3" t="s">
        <v>32</v>
      </c>
    </row>
    <row r="162" spans="1:20" s="3" customFormat="1" x14ac:dyDescent="0.3">
      <c r="A162" s="3" t="s">
        <v>9</v>
      </c>
      <c r="B162" s="3" t="s">
        <v>34</v>
      </c>
      <c r="C162" s="3">
        <v>2008</v>
      </c>
      <c r="E162" s="3" t="s">
        <v>4</v>
      </c>
      <c r="F162" s="3" t="s">
        <v>5</v>
      </c>
      <c r="G162" s="3" t="s">
        <v>57</v>
      </c>
      <c r="H162" s="3" t="s">
        <v>50</v>
      </c>
      <c r="I162" s="3">
        <v>106</v>
      </c>
      <c r="J162" s="4" t="s">
        <v>46</v>
      </c>
      <c r="K162" s="4">
        <v>7</v>
      </c>
      <c r="L162" s="4"/>
      <c r="N162" s="3">
        <f t="shared" si="5"/>
        <v>7</v>
      </c>
      <c r="O162" s="3">
        <v>0.13</v>
      </c>
      <c r="P162" s="3" t="s">
        <v>52</v>
      </c>
      <c r="Q162" s="3" t="s">
        <v>32</v>
      </c>
    </row>
    <row r="163" spans="1:20" s="3" customFormat="1" x14ac:dyDescent="0.3">
      <c r="A163" s="3" t="s">
        <v>9</v>
      </c>
      <c r="B163" s="3" t="s">
        <v>34</v>
      </c>
      <c r="C163" s="3">
        <v>2008</v>
      </c>
      <c r="E163" s="3" t="s">
        <v>4</v>
      </c>
      <c r="F163" s="3" t="s">
        <v>5</v>
      </c>
      <c r="G163" s="3" t="s">
        <v>57</v>
      </c>
      <c r="H163" s="3" t="s">
        <v>50</v>
      </c>
      <c r="I163" s="3">
        <v>106</v>
      </c>
      <c r="J163" s="4" t="s">
        <v>47</v>
      </c>
      <c r="K163" s="4">
        <v>6</v>
      </c>
      <c r="L163" s="4"/>
      <c r="N163" s="3">
        <f t="shared" si="5"/>
        <v>6</v>
      </c>
      <c r="O163" s="3">
        <v>0.18</v>
      </c>
      <c r="P163" s="3" t="s">
        <v>52</v>
      </c>
      <c r="Q163" s="3" t="s">
        <v>32</v>
      </c>
    </row>
    <row r="164" spans="1:20" s="3" customFormat="1" x14ac:dyDescent="0.3">
      <c r="A164" s="3" t="s">
        <v>9</v>
      </c>
      <c r="B164" s="3" t="s">
        <v>34</v>
      </c>
      <c r="C164" s="3">
        <v>2008</v>
      </c>
      <c r="E164" s="3" t="s">
        <v>4</v>
      </c>
      <c r="F164" s="3" t="s">
        <v>5</v>
      </c>
      <c r="G164" s="3" t="s">
        <v>57</v>
      </c>
      <c r="H164" s="3" t="s">
        <v>50</v>
      </c>
      <c r="I164" s="3">
        <v>106</v>
      </c>
      <c r="J164" s="4" t="s">
        <v>48</v>
      </c>
      <c r="K164" s="4">
        <v>0</v>
      </c>
      <c r="L164" s="4"/>
      <c r="N164" s="3">
        <f t="shared" si="5"/>
        <v>0</v>
      </c>
      <c r="O164" s="3">
        <v>0.23</v>
      </c>
      <c r="P164" s="3" t="s">
        <v>52</v>
      </c>
      <c r="Q164" s="3" t="s">
        <v>32</v>
      </c>
    </row>
    <row r="165" spans="1:20" s="3" customFormat="1" x14ac:dyDescent="0.3">
      <c r="A165" s="3" t="s">
        <v>9</v>
      </c>
      <c r="B165" s="3" t="s">
        <v>34</v>
      </c>
      <c r="C165" s="3">
        <v>2008</v>
      </c>
      <c r="E165" s="3" t="s">
        <v>4</v>
      </c>
      <c r="F165" s="3" t="s">
        <v>5</v>
      </c>
      <c r="G165" s="3" t="s">
        <v>57</v>
      </c>
      <c r="H165" s="3" t="s">
        <v>50</v>
      </c>
      <c r="I165" s="3">
        <v>106</v>
      </c>
      <c r="J165" s="4" t="s">
        <v>49</v>
      </c>
      <c r="K165" s="4">
        <v>1</v>
      </c>
      <c r="L165" s="4"/>
      <c r="N165" s="3">
        <f t="shared" si="5"/>
        <v>1</v>
      </c>
      <c r="O165" s="3">
        <v>0.4</v>
      </c>
      <c r="P165" s="3" t="s">
        <v>52</v>
      </c>
      <c r="Q165" s="3" t="s">
        <v>32</v>
      </c>
    </row>
    <row r="166" spans="1:20" x14ac:dyDescent="0.3">
      <c r="A166" t="s">
        <v>10</v>
      </c>
      <c r="B166" t="s">
        <v>92</v>
      </c>
      <c r="C166">
        <v>2019</v>
      </c>
      <c r="D166" t="s">
        <v>96</v>
      </c>
      <c r="E166" t="s">
        <v>4</v>
      </c>
      <c r="F166" t="s">
        <v>5</v>
      </c>
      <c r="G166" t="s">
        <v>95</v>
      </c>
      <c r="H166" t="s">
        <v>93</v>
      </c>
      <c r="I166">
        <v>2678</v>
      </c>
      <c r="L166">
        <v>8.1999999999999993</v>
      </c>
      <c r="N166" s="7">
        <f>I166*L166%</f>
        <v>219.59599999999998</v>
      </c>
      <c r="O166" s="7">
        <v>8.2000000000000003E-2</v>
      </c>
      <c r="P166" t="s">
        <v>87</v>
      </c>
      <c r="Q166" t="s">
        <v>59</v>
      </c>
      <c r="S166" t="s">
        <v>97</v>
      </c>
    </row>
    <row r="167" spans="1:20" x14ac:dyDescent="0.3">
      <c r="A167" t="s">
        <v>10</v>
      </c>
      <c r="B167" t="s">
        <v>92</v>
      </c>
      <c r="C167">
        <v>2019</v>
      </c>
      <c r="D167" t="s">
        <v>96</v>
      </c>
      <c r="E167" t="s">
        <v>4</v>
      </c>
      <c r="F167" t="s">
        <v>5</v>
      </c>
      <c r="G167" t="s">
        <v>95</v>
      </c>
      <c r="H167" t="s">
        <v>93</v>
      </c>
      <c r="I167">
        <v>2678</v>
      </c>
      <c r="L167">
        <v>8.8000000000000007</v>
      </c>
      <c r="N167" s="7">
        <f t="shared" ref="N167:N173" si="6">I167*L167%</f>
        <v>235.66400000000002</v>
      </c>
      <c r="O167" s="7">
        <v>8.7999999999999995E-2</v>
      </c>
      <c r="P167" t="s">
        <v>87</v>
      </c>
      <c r="Q167" t="s">
        <v>59</v>
      </c>
      <c r="S167" t="s">
        <v>98</v>
      </c>
    </row>
    <row r="168" spans="1:20" x14ac:dyDescent="0.3">
      <c r="A168" t="s">
        <v>10</v>
      </c>
      <c r="B168" t="s">
        <v>92</v>
      </c>
      <c r="C168">
        <v>2019</v>
      </c>
      <c r="D168" t="s">
        <v>96</v>
      </c>
      <c r="E168" t="s">
        <v>4</v>
      </c>
      <c r="F168" t="s">
        <v>5</v>
      </c>
      <c r="G168" t="s">
        <v>95</v>
      </c>
      <c r="H168" t="s">
        <v>93</v>
      </c>
      <c r="I168">
        <v>2678</v>
      </c>
      <c r="L168">
        <v>1.6</v>
      </c>
      <c r="N168" s="7">
        <f t="shared" si="6"/>
        <v>42.847999999999999</v>
      </c>
      <c r="O168" s="7">
        <v>1.6E-2</v>
      </c>
      <c r="P168" t="s">
        <v>87</v>
      </c>
      <c r="Q168" t="s">
        <v>59</v>
      </c>
      <c r="S168" t="s">
        <v>99</v>
      </c>
    </row>
    <row r="169" spans="1:20" x14ac:dyDescent="0.3">
      <c r="A169" t="s">
        <v>10</v>
      </c>
      <c r="B169" t="s">
        <v>92</v>
      </c>
      <c r="C169">
        <v>2019</v>
      </c>
      <c r="D169" t="s">
        <v>96</v>
      </c>
      <c r="E169" t="s">
        <v>4</v>
      </c>
      <c r="F169" t="s">
        <v>5</v>
      </c>
      <c r="G169" t="s">
        <v>95</v>
      </c>
      <c r="H169" t="s">
        <v>93</v>
      </c>
      <c r="I169">
        <v>2678</v>
      </c>
      <c r="L169">
        <v>2.2999999999999998</v>
      </c>
      <c r="N169" s="7">
        <f t="shared" si="6"/>
        <v>61.594000000000001</v>
      </c>
      <c r="O169" s="7">
        <v>2.3E-2</v>
      </c>
      <c r="P169" t="s">
        <v>87</v>
      </c>
      <c r="Q169" t="s">
        <v>59</v>
      </c>
      <c r="S169" t="s">
        <v>100</v>
      </c>
    </row>
    <row r="170" spans="1:20" x14ac:dyDescent="0.3">
      <c r="A170" t="s">
        <v>10</v>
      </c>
      <c r="B170" t="s">
        <v>92</v>
      </c>
      <c r="C170">
        <v>2019</v>
      </c>
      <c r="D170" t="s">
        <v>96</v>
      </c>
      <c r="E170" t="s">
        <v>4</v>
      </c>
      <c r="F170" t="s">
        <v>5</v>
      </c>
      <c r="G170" t="s">
        <v>95</v>
      </c>
      <c r="H170" t="s">
        <v>93</v>
      </c>
      <c r="I170">
        <v>2678</v>
      </c>
      <c r="L170">
        <v>2</v>
      </c>
      <c r="N170" s="7">
        <f t="shared" si="6"/>
        <v>53.56</v>
      </c>
      <c r="O170" s="7">
        <v>0.02</v>
      </c>
      <c r="P170" t="s">
        <v>87</v>
      </c>
      <c r="Q170" t="s">
        <v>59</v>
      </c>
      <c r="S170" t="s">
        <v>101</v>
      </c>
    </row>
    <row r="171" spans="1:20" x14ac:dyDescent="0.3">
      <c r="A171" t="s">
        <v>10</v>
      </c>
      <c r="B171" t="s">
        <v>92</v>
      </c>
      <c r="C171">
        <v>2019</v>
      </c>
      <c r="D171" t="s">
        <v>96</v>
      </c>
      <c r="E171" t="s">
        <v>4</v>
      </c>
      <c r="F171" t="s">
        <v>5</v>
      </c>
      <c r="G171" t="s">
        <v>95</v>
      </c>
      <c r="H171" t="s">
        <v>93</v>
      </c>
      <c r="I171">
        <v>2678</v>
      </c>
      <c r="L171">
        <v>2.2999999999999998</v>
      </c>
      <c r="N171" s="7">
        <f t="shared" si="6"/>
        <v>61.594000000000001</v>
      </c>
      <c r="O171" s="7">
        <v>2.3E-2</v>
      </c>
      <c r="P171" t="s">
        <v>87</v>
      </c>
      <c r="Q171" t="s">
        <v>59</v>
      </c>
      <c r="S171" t="s">
        <v>102</v>
      </c>
    </row>
    <row r="172" spans="1:20" x14ac:dyDescent="0.3">
      <c r="A172" t="s">
        <v>10</v>
      </c>
      <c r="B172" t="s">
        <v>92</v>
      </c>
      <c r="C172">
        <v>2019</v>
      </c>
      <c r="D172" t="s">
        <v>96</v>
      </c>
      <c r="E172" t="s">
        <v>4</v>
      </c>
      <c r="F172" t="s">
        <v>5</v>
      </c>
      <c r="G172" t="s">
        <v>95</v>
      </c>
      <c r="H172" t="s">
        <v>93</v>
      </c>
      <c r="I172">
        <v>2678</v>
      </c>
      <c r="L172">
        <v>4.0999999999999996</v>
      </c>
      <c r="N172" s="7">
        <f t="shared" si="6"/>
        <v>109.79799999999999</v>
      </c>
      <c r="O172" s="7">
        <v>4.1000000000000002E-2</v>
      </c>
      <c r="P172" t="s">
        <v>87</v>
      </c>
      <c r="Q172" t="s">
        <v>59</v>
      </c>
      <c r="S172" t="s">
        <v>103</v>
      </c>
    </row>
    <row r="173" spans="1:20" x14ac:dyDescent="0.3">
      <c r="A173" t="s">
        <v>10</v>
      </c>
      <c r="B173" t="s">
        <v>92</v>
      </c>
      <c r="C173">
        <v>2019</v>
      </c>
      <c r="D173" t="s">
        <v>96</v>
      </c>
      <c r="E173" t="s">
        <v>4</v>
      </c>
      <c r="F173" t="s">
        <v>5</v>
      </c>
      <c r="G173" t="s">
        <v>95</v>
      </c>
      <c r="H173" t="s">
        <v>93</v>
      </c>
      <c r="I173">
        <v>2678</v>
      </c>
      <c r="L173">
        <v>6.2</v>
      </c>
      <c r="N173" s="7">
        <f t="shared" si="6"/>
        <v>166.036</v>
      </c>
      <c r="O173" s="7">
        <v>6.2E-2</v>
      </c>
      <c r="P173" t="s">
        <v>87</v>
      </c>
      <c r="Q173" t="s">
        <v>59</v>
      </c>
      <c r="S173" t="s">
        <v>104</v>
      </c>
      <c r="T173" t="s">
        <v>161</v>
      </c>
    </row>
    <row r="174" spans="1:20" s="8" customFormat="1" x14ac:dyDescent="0.3">
      <c r="A174" s="8" t="s">
        <v>11</v>
      </c>
      <c r="B174" s="8" t="s">
        <v>156</v>
      </c>
      <c r="C174" s="8">
        <v>1995</v>
      </c>
      <c r="D174" s="8">
        <v>1994</v>
      </c>
      <c r="E174" s="8" t="s">
        <v>4</v>
      </c>
      <c r="F174" s="8" t="s">
        <v>5</v>
      </c>
      <c r="G174" s="8" t="s">
        <v>151</v>
      </c>
      <c r="I174" s="8">
        <v>219</v>
      </c>
      <c r="P174" s="8" t="s">
        <v>54</v>
      </c>
      <c r="Q174" s="8" t="s">
        <v>59</v>
      </c>
      <c r="S174" s="8" t="s">
        <v>157</v>
      </c>
      <c r="T174" s="8" t="s">
        <v>164</v>
      </c>
    </row>
    <row r="175" spans="1:20" x14ac:dyDescent="0.3">
      <c r="A175" t="s">
        <v>12</v>
      </c>
      <c r="B175" t="s">
        <v>53</v>
      </c>
      <c r="C175">
        <v>2017</v>
      </c>
      <c r="D175" t="s">
        <v>60</v>
      </c>
      <c r="E175" t="s">
        <v>4</v>
      </c>
      <c r="F175" t="s">
        <v>5</v>
      </c>
      <c r="G175" t="s">
        <v>58</v>
      </c>
      <c r="I175">
        <v>231</v>
      </c>
      <c r="K175" s="2"/>
      <c r="L175">
        <v>11.6</v>
      </c>
      <c r="M175">
        <v>29</v>
      </c>
      <c r="N175" s="7">
        <f>M175</f>
        <v>29</v>
      </c>
      <c r="O175" s="7">
        <v>0.11600000000000001</v>
      </c>
      <c r="P175" t="s">
        <v>54</v>
      </c>
      <c r="Q175" t="s">
        <v>32</v>
      </c>
      <c r="R175" t="s">
        <v>61</v>
      </c>
    </row>
    <row r="176" spans="1:20" s="3" customFormat="1" x14ac:dyDescent="0.3">
      <c r="A176" s="3" t="s">
        <v>13</v>
      </c>
      <c r="B176" s="3" t="s">
        <v>158</v>
      </c>
      <c r="C176" s="3">
        <v>1987</v>
      </c>
      <c r="D176" s="3" t="s">
        <v>159</v>
      </c>
      <c r="E176" s="3" t="s">
        <v>4</v>
      </c>
      <c r="F176" s="3" t="s">
        <v>19</v>
      </c>
      <c r="G176" s="3" t="s">
        <v>57</v>
      </c>
      <c r="I176" s="3">
        <v>350</v>
      </c>
      <c r="M176" s="3">
        <v>49</v>
      </c>
      <c r="N176" s="3">
        <f>M176</f>
        <v>49</v>
      </c>
      <c r="O176" s="3">
        <v>0.14000000000000001</v>
      </c>
      <c r="P176" s="3" t="s">
        <v>54</v>
      </c>
      <c r="Q176" s="3" t="s">
        <v>59</v>
      </c>
    </row>
    <row r="177" spans="1:20" x14ac:dyDescent="0.3">
      <c r="A177" t="s">
        <v>14</v>
      </c>
      <c r="B177" t="s">
        <v>139</v>
      </c>
      <c r="C177">
        <v>1996</v>
      </c>
      <c r="D177" t="s">
        <v>140</v>
      </c>
      <c r="E177" t="s">
        <v>4</v>
      </c>
      <c r="F177" t="s">
        <v>19</v>
      </c>
      <c r="G177" t="s">
        <v>141</v>
      </c>
      <c r="I177">
        <v>28</v>
      </c>
      <c r="M177">
        <v>6</v>
      </c>
      <c r="N177">
        <f>M177</f>
        <v>6</v>
      </c>
      <c r="O177">
        <v>0.21428571428571427</v>
      </c>
      <c r="P177" t="s">
        <v>54</v>
      </c>
      <c r="Q177" t="s">
        <v>59</v>
      </c>
      <c r="S177" t="s">
        <v>25</v>
      </c>
    </row>
    <row r="178" spans="1:20" s="3" customFormat="1" x14ac:dyDescent="0.3">
      <c r="A178" s="3" t="s">
        <v>15</v>
      </c>
      <c r="B178" s="3" t="s">
        <v>147</v>
      </c>
      <c r="C178" s="3">
        <v>2026</v>
      </c>
      <c r="D178" s="3" t="s">
        <v>144</v>
      </c>
      <c r="E178" s="3" t="s">
        <v>4</v>
      </c>
      <c r="F178" s="3" t="s">
        <v>19</v>
      </c>
      <c r="G178" s="3" t="s">
        <v>57</v>
      </c>
      <c r="I178" s="3">
        <v>3777</v>
      </c>
      <c r="L178" s="3">
        <v>13</v>
      </c>
      <c r="N178" s="3">
        <f>I178*L178%</f>
        <v>491.01</v>
      </c>
      <c r="O178" s="3">
        <v>0.13</v>
      </c>
      <c r="P178" s="3" t="s">
        <v>54</v>
      </c>
      <c r="Q178" s="3" t="s">
        <v>59</v>
      </c>
      <c r="S178" s="3" t="s">
        <v>145</v>
      </c>
    </row>
    <row r="179" spans="1:20" x14ac:dyDescent="0.3">
      <c r="A179" t="s">
        <v>16</v>
      </c>
      <c r="B179" t="s">
        <v>146</v>
      </c>
      <c r="C179">
        <v>2026</v>
      </c>
      <c r="D179" t="s">
        <v>148</v>
      </c>
      <c r="E179" t="s">
        <v>4</v>
      </c>
      <c r="F179" t="s">
        <v>19</v>
      </c>
      <c r="G179" t="s">
        <v>57</v>
      </c>
      <c r="I179">
        <v>254</v>
      </c>
      <c r="L179">
        <v>29</v>
      </c>
      <c r="N179">
        <f>I179*L179%</f>
        <v>73.66</v>
      </c>
      <c r="O179">
        <v>0.28999999999999998</v>
      </c>
      <c r="P179" t="s">
        <v>54</v>
      </c>
      <c r="Q179" t="s">
        <v>59</v>
      </c>
      <c r="S179" t="s">
        <v>149</v>
      </c>
    </row>
    <row r="180" spans="1:20" s="8" customFormat="1" x14ac:dyDescent="0.3">
      <c r="A180" s="8" t="s">
        <v>17</v>
      </c>
      <c r="B180" s="8" t="s">
        <v>17</v>
      </c>
      <c r="C180" s="8">
        <v>1997</v>
      </c>
      <c r="E180" s="8" t="s">
        <v>4</v>
      </c>
      <c r="F180" s="8" t="s">
        <v>19</v>
      </c>
      <c r="G180" s="8" t="s">
        <v>57</v>
      </c>
      <c r="L180" s="8">
        <v>1E-3</v>
      </c>
      <c r="O180" s="8">
        <v>1.0000000000000001E-5</v>
      </c>
      <c r="P180" s="8" t="s">
        <v>150</v>
      </c>
      <c r="Q180" s="8" t="s">
        <v>59</v>
      </c>
      <c r="T180" s="8" t="s">
        <v>165</v>
      </c>
    </row>
    <row r="181" spans="1:20" s="8" customFormat="1" x14ac:dyDescent="0.3">
      <c r="A181" s="8" t="s">
        <v>18</v>
      </c>
      <c r="C181" s="8">
        <v>1996</v>
      </c>
      <c r="E181" s="8" t="s">
        <v>4</v>
      </c>
      <c r="F181" s="8" t="s">
        <v>19</v>
      </c>
      <c r="P181" s="8" t="s">
        <v>173</v>
      </c>
      <c r="S181" s="8" t="s">
        <v>166</v>
      </c>
    </row>
    <row r="182" spans="1:20" s="8" customFormat="1" x14ac:dyDescent="0.3">
      <c r="A182" s="8" t="s">
        <v>28</v>
      </c>
      <c r="B182" s="8" t="s">
        <v>28</v>
      </c>
      <c r="C182" s="8">
        <v>2008</v>
      </c>
      <c r="E182" s="8" t="s">
        <v>29</v>
      </c>
      <c r="F182" s="8" t="s">
        <v>5</v>
      </c>
      <c r="L182" s="8">
        <v>0.84</v>
      </c>
      <c r="O182" s="8">
        <v>8.3999999999999995E-3</v>
      </c>
      <c r="P182" s="8" t="s">
        <v>150</v>
      </c>
      <c r="Q182" s="8" t="s">
        <v>32</v>
      </c>
      <c r="R182" s="8" t="s">
        <v>33</v>
      </c>
    </row>
    <row r="183" spans="1:20" s="8" customFormat="1" x14ac:dyDescent="0.3">
      <c r="A183" s="8" t="s">
        <v>62</v>
      </c>
      <c r="B183" s="8" t="s">
        <v>62</v>
      </c>
      <c r="C183" s="8">
        <v>2018</v>
      </c>
      <c r="D183" s="8" t="s">
        <v>64</v>
      </c>
      <c r="E183" s="8" t="s">
        <v>29</v>
      </c>
      <c r="F183" s="8" t="s">
        <v>5</v>
      </c>
      <c r="G183" s="8" t="s">
        <v>63</v>
      </c>
      <c r="I183" s="8">
        <v>160000</v>
      </c>
      <c r="L183" s="8">
        <v>6.0000000000000001E-3</v>
      </c>
      <c r="M183" s="8">
        <v>10</v>
      </c>
      <c r="N183" s="8">
        <f>M183</f>
        <v>10</v>
      </c>
      <c r="O183" s="8">
        <v>6.0000000000000002E-5</v>
      </c>
      <c r="P183" s="8" t="s">
        <v>150</v>
      </c>
      <c r="Q183" s="8" t="s">
        <v>32</v>
      </c>
      <c r="R183" s="8" t="s">
        <v>65</v>
      </c>
      <c r="S183" s="8" t="s">
        <v>66</v>
      </c>
      <c r="T183" s="8" t="s">
        <v>165</v>
      </c>
    </row>
    <row r="184" spans="1:20" s="8" customFormat="1" x14ac:dyDescent="0.3">
      <c r="A184" s="8" t="s">
        <v>62</v>
      </c>
      <c r="B184" s="8" t="s">
        <v>62</v>
      </c>
      <c r="C184" s="8">
        <v>2018</v>
      </c>
      <c r="D184" s="8" t="s">
        <v>64</v>
      </c>
      <c r="E184" s="8" t="s">
        <v>29</v>
      </c>
      <c r="F184" s="8" t="s">
        <v>5</v>
      </c>
      <c r="G184" s="8" t="s">
        <v>63</v>
      </c>
      <c r="I184" s="8">
        <v>160000</v>
      </c>
      <c r="L184" s="8">
        <v>1.2</v>
      </c>
      <c r="M184" s="8">
        <v>1946</v>
      </c>
      <c r="N184" s="8">
        <f>M184</f>
        <v>1946</v>
      </c>
      <c r="O184" s="8">
        <v>1.2E-2</v>
      </c>
      <c r="P184" s="8" t="s">
        <v>150</v>
      </c>
      <c r="S184" s="8" t="s">
        <v>67</v>
      </c>
      <c r="T184" s="8" t="s">
        <v>165</v>
      </c>
    </row>
    <row r="185" spans="1:20" s="8" customFormat="1" x14ac:dyDescent="0.3">
      <c r="A185" s="8" t="s">
        <v>62</v>
      </c>
      <c r="B185" s="8" t="s">
        <v>62</v>
      </c>
      <c r="C185" s="8">
        <v>2018</v>
      </c>
      <c r="D185" s="8" t="s">
        <v>64</v>
      </c>
      <c r="E185" s="8" t="s">
        <v>29</v>
      </c>
      <c r="F185" s="8" t="s">
        <v>5</v>
      </c>
      <c r="G185" s="8" t="s">
        <v>63</v>
      </c>
      <c r="I185" s="8">
        <v>160000</v>
      </c>
      <c r="L185" s="8">
        <v>9.4E-2</v>
      </c>
      <c r="M185" s="8">
        <v>1498</v>
      </c>
      <c r="N185" s="8">
        <f>M185</f>
        <v>1498</v>
      </c>
      <c r="O185" s="8">
        <v>9.3999999999999997E-4</v>
      </c>
      <c r="P185" s="8" t="s">
        <v>150</v>
      </c>
      <c r="S185" s="8" t="s">
        <v>68</v>
      </c>
      <c r="T185" s="8" t="s">
        <v>165</v>
      </c>
    </row>
    <row r="186" spans="1:20" s="8" customFormat="1" x14ac:dyDescent="0.3">
      <c r="A186" s="8" t="s">
        <v>62</v>
      </c>
      <c r="B186" s="8" t="s">
        <v>62</v>
      </c>
      <c r="C186" s="8">
        <v>2018</v>
      </c>
      <c r="D186" s="8" t="s">
        <v>64</v>
      </c>
      <c r="E186" s="8" t="s">
        <v>29</v>
      </c>
      <c r="F186" s="8" t="s">
        <v>5</v>
      </c>
      <c r="G186" s="8" t="s">
        <v>63</v>
      </c>
      <c r="I186" s="8">
        <v>160000</v>
      </c>
      <c r="L186" s="8">
        <v>0.26</v>
      </c>
      <c r="M186" s="8">
        <v>417</v>
      </c>
      <c r="N186" s="8">
        <f>M186</f>
        <v>417</v>
      </c>
      <c r="O186" s="8">
        <v>2.5999999999999999E-3</v>
      </c>
      <c r="P186" s="8" t="s">
        <v>150</v>
      </c>
      <c r="S186" s="8" t="s">
        <v>69</v>
      </c>
      <c r="T186" s="8" t="s">
        <v>165</v>
      </c>
    </row>
    <row r="187" spans="1:20" s="3" customFormat="1" x14ac:dyDescent="0.3">
      <c r="A187" s="3" t="s">
        <v>70</v>
      </c>
      <c r="B187" s="3" t="s">
        <v>70</v>
      </c>
      <c r="C187" s="3">
        <v>2012</v>
      </c>
      <c r="D187" s="3" t="s">
        <v>60</v>
      </c>
      <c r="E187" s="3" t="s">
        <v>29</v>
      </c>
      <c r="F187" s="3" t="s">
        <v>5</v>
      </c>
      <c r="G187" s="3" t="s">
        <v>58</v>
      </c>
      <c r="I187" s="3">
        <v>715</v>
      </c>
      <c r="L187" s="3">
        <v>5</v>
      </c>
      <c r="M187" s="3">
        <v>38</v>
      </c>
      <c r="N187" s="3">
        <f>M187</f>
        <v>38</v>
      </c>
      <c r="O187" s="3">
        <v>5.3146853146853149E-2</v>
      </c>
      <c r="P187" s="3" t="s">
        <v>54</v>
      </c>
      <c r="Q187" s="3" t="s">
        <v>32</v>
      </c>
      <c r="R187" s="3" t="s">
        <v>71</v>
      </c>
      <c r="S187" s="3" t="s">
        <v>72</v>
      </c>
      <c r="T187" s="3" t="s">
        <v>167</v>
      </c>
    </row>
    <row r="188" spans="1:20" s="3" customFormat="1" x14ac:dyDescent="0.3">
      <c r="A188" s="3" t="s">
        <v>70</v>
      </c>
      <c r="B188" s="3" t="s">
        <v>70</v>
      </c>
      <c r="C188" s="3">
        <v>2012</v>
      </c>
      <c r="D188" s="3" t="s">
        <v>60</v>
      </c>
      <c r="E188" s="3" t="s">
        <v>29</v>
      </c>
      <c r="F188" s="3" t="s">
        <v>5</v>
      </c>
      <c r="G188" s="3" t="s">
        <v>58</v>
      </c>
      <c r="I188" s="3">
        <v>715</v>
      </c>
      <c r="M188" s="3">
        <v>18</v>
      </c>
      <c r="N188" s="3">
        <f>M188</f>
        <v>18</v>
      </c>
      <c r="O188" s="3">
        <v>2.5174825174825177E-2</v>
      </c>
      <c r="P188" s="3" t="s">
        <v>54</v>
      </c>
      <c r="Q188" s="3" t="s">
        <v>32</v>
      </c>
      <c r="R188" s="3" t="s">
        <v>71</v>
      </c>
      <c r="S188" s="3" t="s">
        <v>75</v>
      </c>
    </row>
    <row r="189" spans="1:20" s="3" customFormat="1" x14ac:dyDescent="0.3">
      <c r="A189" s="3" t="s">
        <v>70</v>
      </c>
      <c r="B189" s="3" t="s">
        <v>70</v>
      </c>
      <c r="C189" s="3">
        <v>2012</v>
      </c>
      <c r="D189" s="3" t="s">
        <v>60</v>
      </c>
      <c r="E189" s="3" t="s">
        <v>29</v>
      </c>
      <c r="F189" s="3" t="s">
        <v>5</v>
      </c>
      <c r="G189" s="3" t="s">
        <v>58</v>
      </c>
      <c r="I189" s="3">
        <v>422</v>
      </c>
      <c r="L189" s="3">
        <v>9</v>
      </c>
      <c r="M189" s="3">
        <v>40</v>
      </c>
      <c r="N189" s="3">
        <f>M189</f>
        <v>40</v>
      </c>
      <c r="O189" s="3">
        <f>M189/I189</f>
        <v>9.4786729857819899E-2</v>
      </c>
      <c r="P189" s="3" t="s">
        <v>54</v>
      </c>
      <c r="Q189" s="3" t="s">
        <v>32</v>
      </c>
      <c r="R189" s="3" t="s">
        <v>71</v>
      </c>
      <c r="S189" s="3" t="s">
        <v>73</v>
      </c>
    </row>
    <row r="190" spans="1:20" s="3" customFormat="1" x14ac:dyDescent="0.3">
      <c r="A190" s="3" t="s">
        <v>70</v>
      </c>
      <c r="B190" s="3" t="s">
        <v>70</v>
      </c>
      <c r="C190" s="3">
        <v>2012</v>
      </c>
      <c r="D190" s="3" t="s">
        <v>60</v>
      </c>
      <c r="E190" s="3" t="s">
        <v>29</v>
      </c>
      <c r="F190" s="3" t="s">
        <v>5</v>
      </c>
      <c r="G190" s="3" t="s">
        <v>58</v>
      </c>
      <c r="I190" s="3">
        <v>422</v>
      </c>
      <c r="M190" s="3">
        <v>7</v>
      </c>
      <c r="N190" s="3">
        <f>M190</f>
        <v>7</v>
      </c>
      <c r="O190" s="3">
        <f>M190/I190</f>
        <v>1.6587677725118485E-2</v>
      </c>
      <c r="P190" s="3" t="s">
        <v>54</v>
      </c>
      <c r="Q190" s="3" t="s">
        <v>32</v>
      </c>
      <c r="R190" s="3" t="s">
        <v>71</v>
      </c>
      <c r="S190" s="3" t="s">
        <v>74</v>
      </c>
    </row>
    <row r="191" spans="1:20" s="3" customFormat="1" x14ac:dyDescent="0.3">
      <c r="A191" s="3" t="s">
        <v>70</v>
      </c>
      <c r="B191" s="3" t="s">
        <v>70</v>
      </c>
      <c r="C191" s="3">
        <v>2012</v>
      </c>
      <c r="D191" s="3" t="s">
        <v>60</v>
      </c>
      <c r="E191" s="3" t="s">
        <v>29</v>
      </c>
      <c r="F191" s="3" t="s">
        <v>5</v>
      </c>
      <c r="G191" s="3" t="s">
        <v>58</v>
      </c>
      <c r="I191" s="3">
        <v>227</v>
      </c>
      <c r="L191" s="3">
        <v>15</v>
      </c>
      <c r="M191" s="3">
        <v>33</v>
      </c>
      <c r="N191" s="3">
        <f>M191</f>
        <v>33</v>
      </c>
      <c r="O191" s="3">
        <f>M191/I191</f>
        <v>0.14537444933920704</v>
      </c>
      <c r="P191" s="3" t="s">
        <v>54</v>
      </c>
      <c r="Q191" s="3" t="s">
        <v>32</v>
      </c>
      <c r="R191" s="3" t="s">
        <v>71</v>
      </c>
      <c r="S191" s="3" t="s">
        <v>76</v>
      </c>
    </row>
    <row r="192" spans="1:20" x14ac:dyDescent="0.3">
      <c r="A192" t="s">
        <v>77</v>
      </c>
      <c r="B192" t="s">
        <v>77</v>
      </c>
      <c r="C192">
        <v>2007</v>
      </c>
      <c r="D192" t="s">
        <v>78</v>
      </c>
      <c r="E192" t="s">
        <v>29</v>
      </c>
      <c r="F192" t="s">
        <v>5</v>
      </c>
      <c r="G192" t="s">
        <v>57</v>
      </c>
      <c r="I192">
        <v>5968</v>
      </c>
      <c r="L192">
        <v>0.23</v>
      </c>
      <c r="M192">
        <v>14</v>
      </c>
      <c r="N192" s="7">
        <f>M192</f>
        <v>14</v>
      </c>
      <c r="O192">
        <f>M192/I192</f>
        <v>2.3458445040214475E-3</v>
      </c>
      <c r="P192" t="s">
        <v>54</v>
      </c>
      <c r="Q192" t="s">
        <v>32</v>
      </c>
      <c r="R192" t="s">
        <v>79</v>
      </c>
      <c r="S192" t="s">
        <v>81</v>
      </c>
    </row>
    <row r="193" spans="1:20" x14ac:dyDescent="0.3">
      <c r="A193" t="s">
        <v>77</v>
      </c>
      <c r="B193" t="s">
        <v>77</v>
      </c>
      <c r="C193">
        <v>2007</v>
      </c>
      <c r="D193" t="s">
        <v>80</v>
      </c>
      <c r="E193" t="s">
        <v>29</v>
      </c>
      <c r="F193" t="s">
        <v>5</v>
      </c>
      <c r="G193" t="s">
        <v>57</v>
      </c>
      <c r="I193">
        <v>2235</v>
      </c>
      <c r="L193">
        <v>0.47</v>
      </c>
      <c r="M193">
        <v>10.5</v>
      </c>
      <c r="N193" s="7">
        <f>M193</f>
        <v>10.5</v>
      </c>
      <c r="O193" s="7">
        <f>M193/I193</f>
        <v>4.6979865771812077E-3</v>
      </c>
      <c r="P193" t="s">
        <v>54</v>
      </c>
      <c r="Q193" t="s">
        <v>32</v>
      </c>
      <c r="R193" t="s">
        <v>79</v>
      </c>
      <c r="S193" t="s">
        <v>82</v>
      </c>
    </row>
    <row r="194" spans="1:20" x14ac:dyDescent="0.3">
      <c r="A194" t="s">
        <v>77</v>
      </c>
      <c r="B194" t="s">
        <v>77</v>
      </c>
      <c r="C194">
        <v>2007</v>
      </c>
      <c r="D194" t="s">
        <v>80</v>
      </c>
      <c r="E194" t="s">
        <v>29</v>
      </c>
      <c r="F194" t="s">
        <v>5</v>
      </c>
      <c r="G194" t="s">
        <v>57</v>
      </c>
      <c r="I194">
        <v>479</v>
      </c>
      <c r="L194">
        <v>2.2000000000000002</v>
      </c>
      <c r="M194">
        <v>10.5</v>
      </c>
      <c r="N194" s="7">
        <f>M194</f>
        <v>10.5</v>
      </c>
      <c r="O194" s="7">
        <f>M194/I194</f>
        <v>2.1920668058455117E-2</v>
      </c>
      <c r="P194" t="s">
        <v>54</v>
      </c>
      <c r="Q194" t="s">
        <v>32</v>
      </c>
      <c r="R194" t="s">
        <v>79</v>
      </c>
      <c r="S194" t="s">
        <v>83</v>
      </c>
    </row>
    <row r="195" spans="1:20" x14ac:dyDescent="0.3">
      <c r="A195" t="s">
        <v>77</v>
      </c>
      <c r="B195" t="s">
        <v>77</v>
      </c>
      <c r="C195">
        <v>2007</v>
      </c>
      <c r="D195" t="s">
        <v>80</v>
      </c>
      <c r="E195" t="s">
        <v>29</v>
      </c>
      <c r="F195" t="s">
        <v>5</v>
      </c>
      <c r="G195" t="s">
        <v>57</v>
      </c>
      <c r="I195">
        <v>319</v>
      </c>
      <c r="L195">
        <v>3.3</v>
      </c>
      <c r="M195">
        <v>10.5</v>
      </c>
      <c r="N195" s="7">
        <f>M195</f>
        <v>10.5</v>
      </c>
      <c r="O195" s="7">
        <f>M195/I195</f>
        <v>3.2915360501567396E-2</v>
      </c>
      <c r="P195" t="s">
        <v>54</v>
      </c>
      <c r="Q195" t="s">
        <v>32</v>
      </c>
      <c r="R195" t="s">
        <v>79</v>
      </c>
      <c r="S195" t="s">
        <v>84</v>
      </c>
      <c r="T195" t="s">
        <v>168</v>
      </c>
    </row>
    <row r="196" spans="1:20" s="3" customFormat="1" x14ac:dyDescent="0.3">
      <c r="A196" s="3" t="s">
        <v>85</v>
      </c>
      <c r="B196" s="3" t="s">
        <v>85</v>
      </c>
      <c r="C196" s="3">
        <v>2010</v>
      </c>
      <c r="E196" s="3" t="s">
        <v>29</v>
      </c>
      <c r="F196" s="3" t="s">
        <v>19</v>
      </c>
      <c r="G196" s="3" t="s">
        <v>86</v>
      </c>
      <c r="H196" s="3" t="s">
        <v>94</v>
      </c>
      <c r="I196" s="3">
        <v>1249</v>
      </c>
      <c r="L196" s="3">
        <v>22</v>
      </c>
      <c r="M196" s="3">
        <v>274</v>
      </c>
      <c r="N196" s="3">
        <f>M196</f>
        <v>274</v>
      </c>
      <c r="O196" s="3">
        <f>M196/I196</f>
        <v>0.21937550040032025</v>
      </c>
      <c r="P196" s="3" t="s">
        <v>87</v>
      </c>
      <c r="Q196" s="3" t="s">
        <v>59</v>
      </c>
    </row>
    <row r="197" spans="1:20" x14ac:dyDescent="0.3">
      <c r="A197" t="s">
        <v>90</v>
      </c>
      <c r="B197" t="s">
        <v>90</v>
      </c>
      <c r="C197">
        <v>2001</v>
      </c>
      <c r="D197">
        <v>2000</v>
      </c>
      <c r="E197" t="s">
        <v>29</v>
      </c>
      <c r="F197" t="s">
        <v>5</v>
      </c>
      <c r="G197" t="s">
        <v>91</v>
      </c>
      <c r="H197" t="s">
        <v>93</v>
      </c>
      <c r="I197">
        <v>1282</v>
      </c>
      <c r="L197">
        <v>15.4</v>
      </c>
      <c r="M197">
        <v>197</v>
      </c>
      <c r="N197" s="7">
        <f>M197</f>
        <v>197</v>
      </c>
      <c r="O197" s="7">
        <f>M197/I197</f>
        <v>0.15366614664586584</v>
      </c>
      <c r="P197" t="s">
        <v>87</v>
      </c>
      <c r="Q197" t="s">
        <v>59</v>
      </c>
    </row>
    <row r="198" spans="1:20" s="3" customFormat="1" x14ac:dyDescent="0.3">
      <c r="A198" s="3" t="s">
        <v>105</v>
      </c>
      <c r="B198" s="3" t="s">
        <v>105</v>
      </c>
      <c r="C198" s="3">
        <v>2007</v>
      </c>
      <c r="D198" s="3">
        <v>2000</v>
      </c>
      <c r="E198" s="3" t="s">
        <v>29</v>
      </c>
      <c r="F198" s="3" t="s">
        <v>19</v>
      </c>
      <c r="G198" s="3" t="s">
        <v>106</v>
      </c>
      <c r="H198" s="3" t="s">
        <v>41</v>
      </c>
      <c r="I198" s="3">
        <v>631</v>
      </c>
      <c r="L198" s="3">
        <v>23.3</v>
      </c>
      <c r="N198" s="3">
        <f>I198*L198%</f>
        <v>147.023</v>
      </c>
      <c r="O198" s="3">
        <f>L198/100</f>
        <v>0.23300000000000001</v>
      </c>
      <c r="P198" s="3" t="s">
        <v>52</v>
      </c>
      <c r="Q198" s="3" t="s">
        <v>59</v>
      </c>
      <c r="S198" s="3" t="s">
        <v>107</v>
      </c>
      <c r="T198" s="3" t="s">
        <v>169</v>
      </c>
    </row>
    <row r="199" spans="1:20" s="3" customFormat="1" x14ac:dyDescent="0.3">
      <c r="A199" s="3" t="s">
        <v>105</v>
      </c>
      <c r="B199" s="3" t="s">
        <v>105</v>
      </c>
      <c r="C199" s="3">
        <v>2007</v>
      </c>
      <c r="D199" s="3">
        <v>2000</v>
      </c>
      <c r="E199" s="3" t="s">
        <v>29</v>
      </c>
      <c r="F199" s="3" t="s">
        <v>19</v>
      </c>
      <c r="G199" s="3" t="s">
        <v>106</v>
      </c>
      <c r="H199" s="3" t="s">
        <v>41</v>
      </c>
      <c r="I199" s="3">
        <v>631</v>
      </c>
      <c r="L199" s="3">
        <v>4.78</v>
      </c>
      <c r="N199" s="3">
        <f>I199*L199%</f>
        <v>30.161800000000003</v>
      </c>
      <c r="O199" s="3">
        <f>L199/100</f>
        <v>4.7800000000000002E-2</v>
      </c>
      <c r="P199" s="3" t="s">
        <v>52</v>
      </c>
      <c r="Q199" s="3" t="s">
        <v>59</v>
      </c>
      <c r="S199" s="3" t="s">
        <v>108</v>
      </c>
    </row>
    <row r="200" spans="1:20" s="3" customFormat="1" x14ac:dyDescent="0.3">
      <c r="A200" s="3" t="s">
        <v>105</v>
      </c>
      <c r="B200" s="3" t="s">
        <v>105</v>
      </c>
      <c r="C200" s="3">
        <v>2007</v>
      </c>
      <c r="D200" s="3">
        <v>2000</v>
      </c>
      <c r="E200" s="3" t="s">
        <v>29</v>
      </c>
      <c r="F200" s="3" t="s">
        <v>19</v>
      </c>
      <c r="G200" s="3" t="s">
        <v>106</v>
      </c>
      <c r="H200" s="3" t="s">
        <v>41</v>
      </c>
      <c r="I200" s="3">
        <v>631</v>
      </c>
      <c r="L200" s="3">
        <v>3.8</v>
      </c>
      <c r="N200" s="3">
        <f>I200*L200%</f>
        <v>23.977999999999998</v>
      </c>
      <c r="O200" s="3">
        <f>L200/100</f>
        <v>3.7999999999999999E-2</v>
      </c>
      <c r="P200" s="3" t="s">
        <v>52</v>
      </c>
      <c r="Q200" s="3" t="s">
        <v>59</v>
      </c>
      <c r="S200" s="3" t="s">
        <v>109</v>
      </c>
    </row>
    <row r="201" spans="1:20" s="3" customFormat="1" x14ac:dyDescent="0.3">
      <c r="A201" s="3" t="s">
        <v>105</v>
      </c>
      <c r="B201" s="3" t="s">
        <v>105</v>
      </c>
      <c r="C201" s="3">
        <v>2007</v>
      </c>
      <c r="D201" s="3">
        <v>2000</v>
      </c>
      <c r="E201" s="3" t="s">
        <v>29</v>
      </c>
      <c r="F201" s="3" t="s">
        <v>19</v>
      </c>
      <c r="G201" s="3" t="s">
        <v>106</v>
      </c>
      <c r="H201" s="3" t="s">
        <v>41</v>
      </c>
      <c r="I201" s="3">
        <v>631</v>
      </c>
      <c r="L201" s="3">
        <v>0.97</v>
      </c>
      <c r="N201" s="3">
        <f>I201*L201%</f>
        <v>6.1207000000000003</v>
      </c>
      <c r="O201" s="3">
        <f>L201/100</f>
        <v>9.7000000000000003E-3</v>
      </c>
      <c r="P201" s="3" t="s">
        <v>52</v>
      </c>
      <c r="Q201" s="3" t="s">
        <v>59</v>
      </c>
      <c r="S201" s="3" t="s">
        <v>110</v>
      </c>
    </row>
    <row r="202" spans="1:20" s="8" customFormat="1" x14ac:dyDescent="0.3">
      <c r="A202" s="8" t="s">
        <v>115</v>
      </c>
      <c r="B202" s="8" t="s">
        <v>115</v>
      </c>
      <c r="C202" s="8">
        <v>2007</v>
      </c>
      <c r="E202" s="8" t="s">
        <v>29</v>
      </c>
      <c r="F202" s="8" t="s">
        <v>5</v>
      </c>
      <c r="L202" s="8">
        <v>1</v>
      </c>
      <c r="O202" s="8">
        <f>L202/100</f>
        <v>0.01</v>
      </c>
      <c r="P202" s="8" t="s">
        <v>150</v>
      </c>
      <c r="Q202" s="8" t="s">
        <v>59</v>
      </c>
      <c r="S202" s="8" t="s">
        <v>116</v>
      </c>
      <c r="T202" s="8" t="s">
        <v>165</v>
      </c>
    </row>
    <row r="203" spans="1:20" s="8" customFormat="1" x14ac:dyDescent="0.3">
      <c r="A203" s="8" t="s">
        <v>115</v>
      </c>
      <c r="B203" s="8" t="s">
        <v>115</v>
      </c>
      <c r="C203" s="8">
        <v>2008</v>
      </c>
      <c r="E203" s="8" t="s">
        <v>29</v>
      </c>
      <c r="F203" s="8" t="s">
        <v>5</v>
      </c>
      <c r="L203" s="8">
        <v>1.95</v>
      </c>
      <c r="O203" s="8">
        <f>L203/100</f>
        <v>1.95E-2</v>
      </c>
      <c r="P203" s="8" t="s">
        <v>150</v>
      </c>
      <c r="Q203" s="8" t="s">
        <v>59</v>
      </c>
      <c r="S203" s="8" t="s">
        <v>117</v>
      </c>
      <c r="T203" s="8" t="s">
        <v>165</v>
      </c>
    </row>
    <row r="204" spans="1:20" s="8" customFormat="1" x14ac:dyDescent="0.3">
      <c r="A204" s="8" t="s">
        <v>115</v>
      </c>
      <c r="B204" s="8" t="s">
        <v>115</v>
      </c>
      <c r="C204" s="8">
        <v>2009</v>
      </c>
      <c r="E204" s="8" t="s">
        <v>29</v>
      </c>
      <c r="F204" s="8" t="s">
        <v>5</v>
      </c>
      <c r="L204" s="8">
        <v>3.3000000000000002E-2</v>
      </c>
      <c r="O204" s="8">
        <f>L204/100</f>
        <v>3.3E-4</v>
      </c>
      <c r="P204" s="8" t="s">
        <v>150</v>
      </c>
      <c r="Q204" s="8" t="s">
        <v>59</v>
      </c>
      <c r="S204" s="8" t="s">
        <v>118</v>
      </c>
      <c r="T204" s="8" t="s">
        <v>165</v>
      </c>
    </row>
    <row r="205" spans="1:20" s="8" customFormat="1" x14ac:dyDescent="0.3">
      <c r="A205" s="8" t="s">
        <v>115</v>
      </c>
      <c r="B205" s="8" t="s">
        <v>115</v>
      </c>
      <c r="C205" s="8">
        <v>2010</v>
      </c>
      <c r="E205" s="8" t="s">
        <v>29</v>
      </c>
      <c r="F205" s="8" t="s">
        <v>5</v>
      </c>
      <c r="L205" s="8">
        <v>1.6000000000000001E-3</v>
      </c>
      <c r="O205" s="8">
        <f>L205/100</f>
        <v>1.5999999999999999E-5</v>
      </c>
      <c r="P205" s="8" t="s">
        <v>150</v>
      </c>
      <c r="Q205" s="8" t="s">
        <v>59</v>
      </c>
      <c r="S205" s="8" t="s">
        <v>117</v>
      </c>
      <c r="T205" s="8" t="s">
        <v>165</v>
      </c>
    </row>
    <row r="206" spans="1:20" s="3" customFormat="1" x14ac:dyDescent="0.3">
      <c r="A206" s="3" t="s">
        <v>121</v>
      </c>
      <c r="B206" s="3" t="s">
        <v>121</v>
      </c>
      <c r="C206" s="3">
        <v>2008</v>
      </c>
      <c r="E206" s="3" t="s">
        <v>29</v>
      </c>
      <c r="F206" s="3" t="s">
        <v>19</v>
      </c>
      <c r="G206" s="3" t="s">
        <v>119</v>
      </c>
      <c r="H206" s="3" t="s">
        <v>120</v>
      </c>
      <c r="I206" s="3">
        <v>114</v>
      </c>
      <c r="L206" s="3">
        <v>24.93</v>
      </c>
      <c r="N206" s="3">
        <f>I206*L206%</f>
        <v>28.420199999999998</v>
      </c>
      <c r="O206" s="3">
        <f>L206/100</f>
        <v>0.24929999999999999</v>
      </c>
      <c r="P206" s="3" t="s">
        <v>122</v>
      </c>
      <c r="Q206" s="3" t="s">
        <v>59</v>
      </c>
      <c r="T206" s="3" t="s">
        <v>171</v>
      </c>
    </row>
    <row r="207" spans="1:20" x14ac:dyDescent="0.3">
      <c r="A207" t="s">
        <v>123</v>
      </c>
      <c r="B207" t="s">
        <v>123</v>
      </c>
      <c r="C207">
        <v>2014</v>
      </c>
      <c r="D207" t="s">
        <v>124</v>
      </c>
      <c r="E207" t="s">
        <v>29</v>
      </c>
      <c r="F207" t="s">
        <v>5</v>
      </c>
      <c r="G207" t="s">
        <v>57</v>
      </c>
      <c r="I207">
        <v>7482</v>
      </c>
      <c r="M207">
        <v>117</v>
      </c>
      <c r="N207">
        <f>M207</f>
        <v>117</v>
      </c>
      <c r="O207" s="7">
        <f>M207/I207</f>
        <v>1.5637530072173216E-2</v>
      </c>
      <c r="P207" t="s">
        <v>54</v>
      </c>
      <c r="Q207" t="s">
        <v>32</v>
      </c>
      <c r="R207" t="s">
        <v>125</v>
      </c>
      <c r="S207" t="s">
        <v>126</v>
      </c>
    </row>
    <row r="208" spans="1:20" x14ac:dyDescent="0.3">
      <c r="A208" t="s">
        <v>123</v>
      </c>
      <c r="B208" t="s">
        <v>123</v>
      </c>
      <c r="C208">
        <v>2015</v>
      </c>
      <c r="D208" t="s">
        <v>124</v>
      </c>
      <c r="E208" t="s">
        <v>29</v>
      </c>
      <c r="F208" t="s">
        <v>5</v>
      </c>
      <c r="G208" t="s">
        <v>57</v>
      </c>
      <c r="I208">
        <v>7482</v>
      </c>
      <c r="L208">
        <v>4.0999999999999996</v>
      </c>
      <c r="N208">
        <f>I208*L208%</f>
        <v>306.76199999999994</v>
      </c>
      <c r="O208" s="7">
        <f>L208/100</f>
        <v>4.0999999999999995E-2</v>
      </c>
      <c r="P208" t="s">
        <v>54</v>
      </c>
      <c r="Q208" t="s">
        <v>32</v>
      </c>
      <c r="R208" t="s">
        <v>125</v>
      </c>
      <c r="S208" t="s">
        <v>127</v>
      </c>
      <c r="T208" t="s">
        <v>168</v>
      </c>
    </row>
    <row r="209" spans="1:20" s="3" customFormat="1" x14ac:dyDescent="0.3">
      <c r="A209" s="3" t="s">
        <v>128</v>
      </c>
      <c r="B209" s="3" t="s">
        <v>128</v>
      </c>
      <c r="C209" s="3">
        <v>2008</v>
      </c>
      <c r="D209" s="3" t="s">
        <v>124</v>
      </c>
      <c r="E209" s="3" t="s">
        <v>29</v>
      </c>
      <c r="F209" s="3" t="s">
        <v>5</v>
      </c>
      <c r="G209" s="3" t="s">
        <v>57</v>
      </c>
      <c r="I209" s="3">
        <v>7534</v>
      </c>
      <c r="M209" s="3">
        <v>111</v>
      </c>
      <c r="N209" s="3">
        <f>M209</f>
        <v>111</v>
      </c>
      <c r="O209" s="3">
        <f>M209/I209</f>
        <v>1.4733209450491107E-2</v>
      </c>
      <c r="P209" s="3" t="s">
        <v>54</v>
      </c>
      <c r="Q209" s="3" t="s">
        <v>32</v>
      </c>
      <c r="R209" s="3" t="s">
        <v>131</v>
      </c>
      <c r="S209" s="3" t="s">
        <v>126</v>
      </c>
    </row>
    <row r="210" spans="1:20" s="3" customFormat="1" x14ac:dyDescent="0.3">
      <c r="A210" s="3" t="s">
        <v>128</v>
      </c>
      <c r="B210" s="3" t="s">
        <v>128</v>
      </c>
      <c r="C210" s="3">
        <v>2008</v>
      </c>
      <c r="D210" s="3" t="s">
        <v>124</v>
      </c>
      <c r="E210" s="3" t="s">
        <v>29</v>
      </c>
      <c r="F210" s="3" t="s">
        <v>5</v>
      </c>
      <c r="G210" s="3" t="s">
        <v>57</v>
      </c>
      <c r="I210" s="3">
        <v>7534</v>
      </c>
      <c r="L210" s="3">
        <v>2.2999999999999998</v>
      </c>
      <c r="N210" s="3">
        <f>I210*L210%</f>
        <v>173.28200000000001</v>
      </c>
      <c r="O210" s="3">
        <f>L210/100</f>
        <v>2.3E-2</v>
      </c>
      <c r="P210" s="3" t="s">
        <v>54</v>
      </c>
      <c r="Q210" s="3" t="s">
        <v>32</v>
      </c>
      <c r="R210" s="3" t="s">
        <v>131</v>
      </c>
      <c r="S210" s="3" t="s">
        <v>127</v>
      </c>
      <c r="T210" s="3" t="s">
        <v>168</v>
      </c>
    </row>
    <row r="211" spans="1:20" x14ac:dyDescent="0.3">
      <c r="A211" t="s">
        <v>132</v>
      </c>
      <c r="B211" t="s">
        <v>132</v>
      </c>
      <c r="C211">
        <v>2010</v>
      </c>
      <c r="E211" t="s">
        <v>29</v>
      </c>
      <c r="F211" t="s">
        <v>19</v>
      </c>
      <c r="G211" t="s">
        <v>134</v>
      </c>
      <c r="H211" t="s">
        <v>133</v>
      </c>
      <c r="I211">
        <v>461</v>
      </c>
      <c r="L211">
        <v>24.2</v>
      </c>
      <c r="N211">
        <f>I211*L211%</f>
        <v>111.562</v>
      </c>
      <c r="O211">
        <f>L211/100</f>
        <v>0.24199999999999999</v>
      </c>
      <c r="P211" t="s">
        <v>122</v>
      </c>
      <c r="Q211" t="s">
        <v>59</v>
      </c>
      <c r="S211" t="s">
        <v>135</v>
      </c>
      <c r="T211" t="s">
        <v>170</v>
      </c>
    </row>
    <row r="212" spans="1:20" x14ac:dyDescent="0.3">
      <c r="A212" t="s">
        <v>132</v>
      </c>
      <c r="B212" t="s">
        <v>132</v>
      </c>
      <c r="C212">
        <v>2011</v>
      </c>
      <c r="E212" t="s">
        <v>29</v>
      </c>
      <c r="F212" t="s">
        <v>19</v>
      </c>
      <c r="G212" t="s">
        <v>134</v>
      </c>
      <c r="H212" t="s">
        <v>133</v>
      </c>
      <c r="I212">
        <v>461</v>
      </c>
      <c r="L212">
        <v>22.5</v>
      </c>
      <c r="N212">
        <f t="shared" ref="N212:N214" si="7">I212*L212%</f>
        <v>103.72500000000001</v>
      </c>
      <c r="O212">
        <f>L212/100</f>
        <v>0.22500000000000001</v>
      </c>
      <c r="P212" t="s">
        <v>122</v>
      </c>
      <c r="Q212" t="s">
        <v>59</v>
      </c>
      <c r="S212" t="s">
        <v>136</v>
      </c>
    </row>
    <row r="213" spans="1:20" x14ac:dyDescent="0.3">
      <c r="A213" t="s">
        <v>132</v>
      </c>
      <c r="B213" t="s">
        <v>132</v>
      </c>
      <c r="C213">
        <v>2012</v>
      </c>
      <c r="E213" t="s">
        <v>29</v>
      </c>
      <c r="F213" t="s">
        <v>19</v>
      </c>
      <c r="G213" t="s">
        <v>134</v>
      </c>
      <c r="H213" t="s">
        <v>133</v>
      </c>
      <c r="I213">
        <v>461</v>
      </c>
      <c r="L213">
        <v>19.5</v>
      </c>
      <c r="N213">
        <f t="shared" si="7"/>
        <v>89.894999999999996</v>
      </c>
      <c r="O213">
        <f>L213/100</f>
        <v>0.19500000000000001</v>
      </c>
      <c r="P213" t="s">
        <v>122</v>
      </c>
      <c r="Q213" t="s">
        <v>59</v>
      </c>
      <c r="S213" t="s">
        <v>137</v>
      </c>
    </row>
    <row r="214" spans="1:20" x14ac:dyDescent="0.3">
      <c r="A214" t="s">
        <v>132</v>
      </c>
      <c r="B214" t="s">
        <v>132</v>
      </c>
      <c r="C214">
        <v>2013</v>
      </c>
      <c r="E214" t="s">
        <v>29</v>
      </c>
      <c r="F214" t="s">
        <v>19</v>
      </c>
      <c r="G214" t="s">
        <v>134</v>
      </c>
      <c r="H214" t="s">
        <v>133</v>
      </c>
      <c r="I214">
        <v>461</v>
      </c>
      <c r="L214">
        <v>22.3</v>
      </c>
      <c r="N214">
        <f t="shared" si="7"/>
        <v>102.803</v>
      </c>
      <c r="O214">
        <f>L214/100</f>
        <v>0.223</v>
      </c>
      <c r="P214" t="s">
        <v>122</v>
      </c>
      <c r="Q214" t="s">
        <v>59</v>
      </c>
      <c r="S214" t="s">
        <v>138</v>
      </c>
    </row>
    <row r="215" spans="1:20" s="8" customFormat="1" x14ac:dyDescent="0.3">
      <c r="A215" s="8" t="s">
        <v>154</v>
      </c>
      <c r="B215" s="8" t="s">
        <v>154</v>
      </c>
      <c r="C215" s="8">
        <v>2018</v>
      </c>
      <c r="E215" s="8" t="s">
        <v>29</v>
      </c>
      <c r="F215" s="8" t="s">
        <v>5</v>
      </c>
      <c r="G215" s="8" t="s">
        <v>57</v>
      </c>
      <c r="L215" s="8" t="s">
        <v>155</v>
      </c>
      <c r="O215" s="8">
        <v>3.8999999999999999E-4</v>
      </c>
      <c r="P215" s="8" t="s">
        <v>150</v>
      </c>
      <c r="Q215" s="8" t="s">
        <v>59</v>
      </c>
      <c r="T215" s="8" t="s">
        <v>165</v>
      </c>
    </row>
    <row r="216" spans="1:20" s="8" customFormat="1" x14ac:dyDescent="0.3">
      <c r="A216" s="8" t="s">
        <v>142</v>
      </c>
      <c r="B216" s="8" t="s">
        <v>142</v>
      </c>
      <c r="C216" s="8">
        <v>2018</v>
      </c>
      <c r="D216" s="8" t="s">
        <v>64</v>
      </c>
      <c r="E216" s="8" t="s">
        <v>29</v>
      </c>
      <c r="F216" s="8" t="s">
        <v>5</v>
      </c>
      <c r="G216" s="8" t="s">
        <v>63</v>
      </c>
      <c r="I216" s="8">
        <v>320000</v>
      </c>
      <c r="L216" s="8">
        <v>4.4999999999999998E-2</v>
      </c>
      <c r="O216" s="8">
        <v>4.4999999999999999E-4</v>
      </c>
      <c r="P216" s="8" t="s">
        <v>150</v>
      </c>
      <c r="Q216" s="8" t="s">
        <v>32</v>
      </c>
      <c r="R216" s="8" t="s">
        <v>143</v>
      </c>
      <c r="T216" s="8" t="s">
        <v>165</v>
      </c>
    </row>
    <row r="217" spans="1:20" s="8" customFormat="1" x14ac:dyDescent="0.3">
      <c r="A217" s="8" t="s">
        <v>142</v>
      </c>
      <c r="B217" s="8" t="s">
        <v>142</v>
      </c>
      <c r="C217" s="8">
        <v>2018</v>
      </c>
      <c r="D217" s="8" t="s">
        <v>152</v>
      </c>
      <c r="E217" s="8" t="s">
        <v>29</v>
      </c>
      <c r="F217" s="8" t="s">
        <v>5</v>
      </c>
      <c r="G217" s="8" t="s">
        <v>151</v>
      </c>
      <c r="L217" s="8" t="s">
        <v>153</v>
      </c>
      <c r="O217" s="8">
        <v>4.15E-4</v>
      </c>
      <c r="P217" s="8" t="s">
        <v>150</v>
      </c>
      <c r="Q217" s="8" t="s">
        <v>59</v>
      </c>
      <c r="T217" s="8" t="s">
        <v>165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Mary A Catlin</dc:creator>
  <cp:lastModifiedBy>Tom Smith</cp:lastModifiedBy>
  <dcterms:created xsi:type="dcterms:W3CDTF">2026-02-10T15:42:57Z</dcterms:created>
  <dcterms:modified xsi:type="dcterms:W3CDTF">2026-02-21T18:22:55Z</dcterms:modified>
</cp:coreProperties>
</file>